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yujaemin/Desktop/Data Analyst Portfolio 2025/"/>
    </mc:Choice>
  </mc:AlternateContent>
  <xr:revisionPtr revIDLastSave="0" documentId="13_ncr:2001_{30BD7C99-9324-604B-8FE3-14E5A5A38CA4}" xr6:coauthVersionLast="47" xr6:coauthVersionMax="47" xr10:uidLastSave="{00000000-0000-0000-0000-000000000000}"/>
  <bookViews>
    <workbookView xWindow="20" yWindow="500" windowWidth="31440" windowHeight="16660" xr2:uid="{7F60C968-F395-3F47-BDF1-9BE663A17CD5}"/>
  </bookViews>
  <sheets>
    <sheet name="Master" sheetId="6" r:id="rId1"/>
    <sheet name="Data_Dictionary" sheetId="4" r:id="rId2"/>
    <sheet name="Vendor_Code" sheetId="7" r:id="rId3"/>
    <sheet name="Reference" sheetId="2" r:id="rId4"/>
    <sheet name="Dropdown" sheetId="5" r:id="rId5"/>
  </sheets>
  <definedNames>
    <definedName name="_xlnm._FilterDatabase" localSheetId="0" hidden="1">Master!$A$4:$Y$103</definedName>
  </definedNames>
  <calcPr calcId="18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6" i="6" l="1"/>
  <c r="V8" i="6"/>
  <c r="V9" i="6"/>
  <c r="V10" i="6"/>
  <c r="V15" i="6"/>
  <c r="V17" i="6"/>
  <c r="V18" i="6"/>
  <c r="V19" i="6"/>
  <c r="V21" i="6"/>
  <c r="V22" i="6"/>
  <c r="V23" i="6"/>
  <c r="V24" i="6"/>
  <c r="V25" i="6"/>
  <c r="V26" i="6"/>
  <c r="V27" i="6"/>
  <c r="V32" i="6"/>
  <c r="V33" i="6"/>
  <c r="V35" i="6"/>
  <c r="V36" i="6"/>
  <c r="V37" i="6"/>
  <c r="V38" i="6"/>
  <c r="V40" i="6"/>
  <c r="V41" i="6"/>
  <c r="V43" i="6"/>
  <c r="V46" i="6"/>
  <c r="V48" i="6"/>
  <c r="V49" i="6"/>
  <c r="V50" i="6"/>
  <c r="V51" i="6"/>
  <c r="V52" i="6"/>
  <c r="V53" i="6"/>
  <c r="V56" i="6"/>
  <c r="V58" i="6"/>
  <c r="V59" i="6"/>
  <c r="V64" i="6"/>
  <c r="V68" i="6"/>
  <c r="V69" i="6"/>
  <c r="V72" i="6"/>
  <c r="V73" i="6"/>
  <c r="V76" i="6"/>
  <c r="V80" i="6"/>
  <c r="V83" i="6"/>
  <c r="V84" i="6"/>
  <c r="V86" i="6"/>
  <c r="V88" i="6"/>
  <c r="V91" i="6"/>
  <c r="V92" i="6"/>
  <c r="V93" i="6"/>
  <c r="V96" i="6"/>
  <c r="V97" i="6"/>
  <c r="V98" i="6"/>
  <c r="V99" i="6"/>
  <c r="V100" i="6"/>
  <c r="V103" i="6"/>
  <c r="V5" i="6"/>
  <c r="U6" i="6"/>
  <c r="U7" i="6"/>
  <c r="V7" i="6" s="1"/>
  <c r="U8" i="6"/>
  <c r="U9" i="6"/>
  <c r="U10" i="6"/>
  <c r="U11" i="6"/>
  <c r="V11" i="6" s="1"/>
  <c r="U12" i="6"/>
  <c r="V12" i="6" s="1"/>
  <c r="U13" i="6"/>
  <c r="V13" i="6" s="1"/>
  <c r="U14" i="6"/>
  <c r="V14" i="6" s="1"/>
  <c r="U15" i="6"/>
  <c r="U16" i="6"/>
  <c r="V16" i="6" s="1"/>
  <c r="U17" i="6"/>
  <c r="U18" i="6"/>
  <c r="U19" i="6"/>
  <c r="U20" i="6"/>
  <c r="V20" i="6" s="1"/>
  <c r="U21" i="6"/>
  <c r="U22" i="6"/>
  <c r="U23" i="6"/>
  <c r="U24" i="6"/>
  <c r="U25" i="6"/>
  <c r="U26" i="6"/>
  <c r="U27" i="6"/>
  <c r="U28" i="6"/>
  <c r="V28" i="6" s="1"/>
  <c r="U29" i="6"/>
  <c r="V29" i="6" s="1"/>
  <c r="U30" i="6"/>
  <c r="V30" i="6" s="1"/>
  <c r="U31" i="6"/>
  <c r="V31" i="6" s="1"/>
  <c r="U32" i="6"/>
  <c r="U33" i="6"/>
  <c r="U34" i="6"/>
  <c r="V34" i="6" s="1"/>
  <c r="U35" i="6"/>
  <c r="U36" i="6"/>
  <c r="U37" i="6"/>
  <c r="U38" i="6"/>
  <c r="U39" i="6"/>
  <c r="V39" i="6" s="1"/>
  <c r="U40" i="6"/>
  <c r="U41" i="6"/>
  <c r="U42" i="6"/>
  <c r="V42" i="6" s="1"/>
  <c r="U43" i="6"/>
  <c r="U44" i="6"/>
  <c r="V44" i="6" s="1"/>
  <c r="U45" i="6"/>
  <c r="V45" i="6" s="1"/>
  <c r="U46" i="6"/>
  <c r="U47" i="6"/>
  <c r="V47" i="6" s="1"/>
  <c r="U48" i="6"/>
  <c r="U49" i="6"/>
  <c r="U50" i="6"/>
  <c r="U51" i="6"/>
  <c r="U52" i="6"/>
  <c r="U53" i="6"/>
  <c r="U54" i="6"/>
  <c r="V54" i="6" s="1"/>
  <c r="U55" i="6"/>
  <c r="V55" i="6" s="1"/>
  <c r="U56" i="6"/>
  <c r="U57" i="6"/>
  <c r="V57" i="6" s="1"/>
  <c r="U58" i="6"/>
  <c r="U59" i="6"/>
  <c r="U60" i="6"/>
  <c r="V60" i="6" s="1"/>
  <c r="U61" i="6"/>
  <c r="V61" i="6" s="1"/>
  <c r="U62" i="6"/>
  <c r="V62" i="6" s="1"/>
  <c r="U63" i="6"/>
  <c r="V63" i="6" s="1"/>
  <c r="U64" i="6"/>
  <c r="U65" i="6"/>
  <c r="V65" i="6" s="1"/>
  <c r="U66" i="6"/>
  <c r="V66" i="6" s="1"/>
  <c r="U67" i="6"/>
  <c r="V67" i="6" s="1"/>
  <c r="U68" i="6"/>
  <c r="U69" i="6"/>
  <c r="U70" i="6"/>
  <c r="V70" i="6" s="1"/>
  <c r="U71" i="6"/>
  <c r="V71" i="6" s="1"/>
  <c r="U72" i="6"/>
  <c r="U73" i="6"/>
  <c r="U74" i="6"/>
  <c r="V74" i="6" s="1"/>
  <c r="U75" i="6"/>
  <c r="V75" i="6" s="1"/>
  <c r="U76" i="6"/>
  <c r="U77" i="6"/>
  <c r="V77" i="6" s="1"/>
  <c r="U78" i="6"/>
  <c r="V78" i="6" s="1"/>
  <c r="U79" i="6"/>
  <c r="V79" i="6" s="1"/>
  <c r="U80" i="6"/>
  <c r="U81" i="6"/>
  <c r="V81" i="6" s="1"/>
  <c r="U82" i="6"/>
  <c r="V82" i="6" s="1"/>
  <c r="U83" i="6"/>
  <c r="U84" i="6"/>
  <c r="U85" i="6"/>
  <c r="V85" i="6" s="1"/>
  <c r="U86" i="6"/>
  <c r="U87" i="6"/>
  <c r="V87" i="6" s="1"/>
  <c r="U88" i="6"/>
  <c r="U89" i="6"/>
  <c r="V89" i="6" s="1"/>
  <c r="U90" i="6"/>
  <c r="V90" i="6" s="1"/>
  <c r="U91" i="6"/>
  <c r="U92" i="6"/>
  <c r="U93" i="6"/>
  <c r="U94" i="6"/>
  <c r="V94" i="6" s="1"/>
  <c r="U95" i="6"/>
  <c r="V95" i="6" s="1"/>
  <c r="U96" i="6"/>
  <c r="U97" i="6"/>
  <c r="U98" i="6"/>
  <c r="U99" i="6"/>
  <c r="U100" i="6"/>
  <c r="U101" i="6"/>
  <c r="V101" i="6" s="1"/>
  <c r="U102" i="6"/>
  <c r="V102" i="6" s="1"/>
  <c r="U103" i="6"/>
  <c r="U5" i="6"/>
  <c r="S6" i="6"/>
  <c r="X6" i="6" s="1" a="1"/>
  <c r="X6" i="6" s="1"/>
  <c r="S7" i="6"/>
  <c r="X7" i="6" s="1" a="1"/>
  <c r="X7" i="6" s="1"/>
  <c r="S8" i="6"/>
  <c r="S9" i="6"/>
  <c r="X9" i="6" s="1" a="1"/>
  <c r="X9" i="6" s="1"/>
  <c r="S10" i="6"/>
  <c r="X10" i="6" s="1" a="1"/>
  <c r="X10" i="6" s="1"/>
  <c r="S11" i="6"/>
  <c r="X11" i="6" s="1" a="1"/>
  <c r="X11" i="6" s="1"/>
  <c r="S12" i="6"/>
  <c r="X12" i="6" s="1" a="1"/>
  <c r="X12" i="6" s="1"/>
  <c r="S13" i="6"/>
  <c r="X13" i="6" s="1" a="1"/>
  <c r="X13" i="6" s="1"/>
  <c r="S14" i="6"/>
  <c r="X14" i="6" s="1" a="1"/>
  <c r="X14" i="6" s="1"/>
  <c r="S15" i="6"/>
  <c r="S16" i="6"/>
  <c r="X16" i="6" s="1" a="1"/>
  <c r="X16" i="6" s="1"/>
  <c r="S17" i="6"/>
  <c r="X17" i="6" s="1" a="1"/>
  <c r="X17" i="6" s="1"/>
  <c r="S18" i="6"/>
  <c r="X18" i="6" s="1" a="1"/>
  <c r="X18" i="6" s="1"/>
  <c r="S19" i="6"/>
  <c r="X19" i="6" s="1" a="1"/>
  <c r="X19" i="6" s="1"/>
  <c r="S20" i="6"/>
  <c r="X20" i="6" s="1" a="1"/>
  <c r="X20" i="6" s="1"/>
  <c r="S21" i="6"/>
  <c r="X21" i="6" s="1" a="1"/>
  <c r="X21" i="6" s="1"/>
  <c r="S22" i="6"/>
  <c r="X22" i="6" s="1" a="1"/>
  <c r="X22" i="6" s="1"/>
  <c r="S23" i="6"/>
  <c r="X23" i="6" s="1" a="1"/>
  <c r="X23" i="6" s="1"/>
  <c r="S24" i="6"/>
  <c r="X24" i="6" s="1" a="1"/>
  <c r="X24" i="6" s="1"/>
  <c r="S25" i="6"/>
  <c r="X25" i="6" s="1" a="1"/>
  <c r="X25" i="6" s="1"/>
  <c r="S26" i="6"/>
  <c r="X26" i="6" s="1" a="1"/>
  <c r="X26" i="6" s="1"/>
  <c r="S27" i="6"/>
  <c r="X27" i="6" s="1" a="1"/>
  <c r="X27" i="6" s="1"/>
  <c r="S28" i="6"/>
  <c r="S29" i="6"/>
  <c r="X29" i="6" s="1" a="1"/>
  <c r="X29" i="6" s="1"/>
  <c r="S30" i="6"/>
  <c r="X30" i="6" s="1" a="1"/>
  <c r="X30" i="6" s="1"/>
  <c r="S31" i="6"/>
  <c r="X31" i="6" s="1" a="1"/>
  <c r="X31" i="6" s="1"/>
  <c r="S32" i="6"/>
  <c r="X32" i="6" s="1" a="1"/>
  <c r="X32" i="6" s="1"/>
  <c r="S33" i="6"/>
  <c r="S34" i="6"/>
  <c r="X34" i="6" s="1" a="1"/>
  <c r="X34" i="6" s="1"/>
  <c r="S35" i="6"/>
  <c r="X35" i="6" s="1" a="1"/>
  <c r="X35" i="6" s="1"/>
  <c r="S36" i="6"/>
  <c r="X36" i="6" s="1" a="1"/>
  <c r="X36" i="6" s="1"/>
  <c r="S37" i="6"/>
  <c r="X37" i="6" s="1" a="1"/>
  <c r="X37" i="6" s="1"/>
  <c r="S38" i="6"/>
  <c r="X38" i="6" s="1" a="1"/>
  <c r="X38" i="6" s="1"/>
  <c r="S39" i="6"/>
  <c r="X39" i="6" s="1" a="1"/>
  <c r="X39" i="6" s="1"/>
  <c r="S40" i="6"/>
  <c r="X40" i="6" s="1" a="1"/>
  <c r="X40" i="6" s="1"/>
  <c r="S41" i="6"/>
  <c r="X41" i="6" s="1" a="1"/>
  <c r="X41" i="6" s="1"/>
  <c r="S42" i="6"/>
  <c r="X42" i="6" s="1" a="1"/>
  <c r="X42" i="6" s="1"/>
  <c r="S43" i="6"/>
  <c r="X43" i="6" s="1" a="1"/>
  <c r="X43" i="6" s="1"/>
  <c r="S44" i="6"/>
  <c r="S45" i="6"/>
  <c r="X45" i="6" s="1" a="1"/>
  <c r="X45" i="6" s="1"/>
  <c r="S46" i="6"/>
  <c r="X46" i="6" s="1" a="1"/>
  <c r="X46" i="6" s="1"/>
  <c r="S47" i="6"/>
  <c r="X47" i="6" s="1" a="1"/>
  <c r="X47" i="6" s="1"/>
  <c r="S48" i="6"/>
  <c r="X48" i="6" s="1" a="1"/>
  <c r="X48" i="6" s="1"/>
  <c r="S49" i="6"/>
  <c r="X49" i="6" s="1" a="1"/>
  <c r="X49" i="6" s="1"/>
  <c r="S50" i="6"/>
  <c r="X50" i="6" s="1" a="1"/>
  <c r="X50" i="6" s="1"/>
  <c r="S51" i="6"/>
  <c r="S52" i="6"/>
  <c r="X52" i="6" s="1" a="1"/>
  <c r="X52" i="6" s="1"/>
  <c r="S53" i="6"/>
  <c r="X53" i="6" s="1" a="1"/>
  <c r="X53" i="6" s="1"/>
  <c r="S54" i="6"/>
  <c r="X54" i="6" s="1" a="1"/>
  <c r="X54" i="6" s="1"/>
  <c r="S55" i="6"/>
  <c r="X55" i="6" s="1" a="1"/>
  <c r="X55" i="6" s="1"/>
  <c r="S56" i="6"/>
  <c r="X56" i="6" s="1" a="1"/>
  <c r="X56" i="6" s="1"/>
  <c r="S57" i="6"/>
  <c r="X57" i="6" s="1" a="1"/>
  <c r="X57" i="6" s="1"/>
  <c r="S58" i="6"/>
  <c r="X58" i="6" s="1" a="1"/>
  <c r="X58" i="6" s="1"/>
  <c r="S59" i="6"/>
  <c r="X59" i="6" s="1" a="1"/>
  <c r="X59" i="6" s="1"/>
  <c r="S60" i="6"/>
  <c r="S61" i="6"/>
  <c r="X61" i="6" s="1" a="1"/>
  <c r="X61" i="6" s="1"/>
  <c r="S62" i="6"/>
  <c r="X62" i="6" s="1" a="1"/>
  <c r="X62" i="6" s="1"/>
  <c r="S63" i="6"/>
  <c r="X63" i="6" s="1" a="1"/>
  <c r="X63" i="6" s="1"/>
  <c r="S64" i="6"/>
  <c r="X64" i="6" s="1" a="1"/>
  <c r="X64" i="6" s="1"/>
  <c r="S65" i="6"/>
  <c r="X65" i="6" s="1" a="1"/>
  <c r="X65" i="6" s="1"/>
  <c r="S66" i="6"/>
  <c r="X66" i="6" s="1" a="1"/>
  <c r="X66" i="6" s="1"/>
  <c r="S67" i="6"/>
  <c r="X67" i="6" s="1" a="1"/>
  <c r="X67" i="6" s="1"/>
  <c r="S68" i="6"/>
  <c r="X68" i="6" s="1" a="1"/>
  <c r="X68" i="6" s="1"/>
  <c r="S69" i="6"/>
  <c r="X69" i="6" s="1" a="1"/>
  <c r="X69" i="6" s="1"/>
  <c r="S70" i="6"/>
  <c r="X70" i="6" s="1" a="1"/>
  <c r="X70" i="6" s="1"/>
  <c r="S71" i="6"/>
  <c r="X71" i="6" s="1" a="1"/>
  <c r="X71" i="6" s="1"/>
  <c r="S72" i="6"/>
  <c r="X72" i="6" s="1" a="1"/>
  <c r="X72" i="6" s="1"/>
  <c r="S73" i="6"/>
  <c r="X73" i="6" s="1" a="1"/>
  <c r="X73" i="6" s="1"/>
  <c r="S74" i="6"/>
  <c r="X74" i="6" s="1" a="1"/>
  <c r="X74" i="6" s="1"/>
  <c r="S75" i="6"/>
  <c r="X75" i="6" s="1" a="1"/>
  <c r="X75" i="6" s="1"/>
  <c r="S76" i="6"/>
  <c r="X76" i="6" s="1" a="1"/>
  <c r="X76" i="6" s="1"/>
  <c r="S77" i="6"/>
  <c r="X77" i="6" s="1" a="1"/>
  <c r="X77" i="6" s="1"/>
  <c r="S78" i="6"/>
  <c r="X78" i="6" s="1" a="1"/>
  <c r="X78" i="6" s="1"/>
  <c r="S79" i="6"/>
  <c r="X79" i="6" s="1" a="1"/>
  <c r="X79" i="6" s="1"/>
  <c r="S80" i="6"/>
  <c r="X80" i="6" s="1" a="1"/>
  <c r="X80" i="6" s="1"/>
  <c r="S81" i="6"/>
  <c r="X81" i="6" s="1" a="1"/>
  <c r="X81" i="6" s="1"/>
  <c r="S82" i="6"/>
  <c r="X82" i="6" s="1" a="1"/>
  <c r="X82" i="6" s="1"/>
  <c r="S83" i="6"/>
  <c r="X83" i="6" s="1" a="1"/>
  <c r="X83" i="6" s="1"/>
  <c r="S84" i="6"/>
  <c r="X84" i="6" s="1" a="1"/>
  <c r="X84" i="6" s="1"/>
  <c r="S85" i="6"/>
  <c r="S86" i="6"/>
  <c r="X86" i="6" s="1" a="1"/>
  <c r="X86" i="6" s="1"/>
  <c r="S87" i="6"/>
  <c r="X87" i="6" s="1" a="1"/>
  <c r="X87" i="6" s="1"/>
  <c r="S88" i="6"/>
  <c r="X88" i="6" s="1" a="1"/>
  <c r="X88" i="6" s="1"/>
  <c r="S89" i="6"/>
  <c r="X89" i="6" s="1" a="1"/>
  <c r="X89" i="6" s="1"/>
  <c r="S90" i="6"/>
  <c r="X90" i="6" s="1" a="1"/>
  <c r="X90" i="6" s="1"/>
  <c r="S91" i="6"/>
  <c r="X91" i="6" s="1" a="1"/>
  <c r="X91" i="6" s="1"/>
  <c r="S92" i="6"/>
  <c r="X92" i="6" s="1" a="1"/>
  <c r="X92" i="6" s="1"/>
  <c r="S93" i="6"/>
  <c r="X93" i="6" s="1" a="1"/>
  <c r="X93" i="6" s="1"/>
  <c r="S94" i="6"/>
  <c r="X94" i="6" s="1" a="1"/>
  <c r="X94" i="6" s="1"/>
  <c r="S95" i="6"/>
  <c r="X95" i="6" s="1" a="1"/>
  <c r="X95" i="6" s="1"/>
  <c r="S96" i="6"/>
  <c r="X96" i="6" s="1" a="1"/>
  <c r="X96" i="6" s="1"/>
  <c r="S97" i="6"/>
  <c r="X97" i="6" s="1" a="1"/>
  <c r="X97" i="6" s="1"/>
  <c r="S98" i="6"/>
  <c r="X98" i="6" s="1" a="1"/>
  <c r="X98" i="6" s="1"/>
  <c r="S99" i="6"/>
  <c r="X99" i="6" s="1" a="1"/>
  <c r="X99" i="6" s="1"/>
  <c r="S100" i="6"/>
  <c r="X100" i="6" s="1" a="1"/>
  <c r="X100" i="6" s="1"/>
  <c r="S101" i="6"/>
  <c r="X101" i="6" s="1" a="1"/>
  <c r="X101" i="6" s="1"/>
  <c r="S102" i="6"/>
  <c r="X102" i="6" s="1" a="1"/>
  <c r="X102" i="6" s="1"/>
  <c r="S103" i="6"/>
  <c r="X103" i="6" s="1" a="1"/>
  <c r="X103" i="6" s="1"/>
  <c r="S5" i="6"/>
  <c r="X5" i="6" s="1" a="1"/>
  <c r="X5" i="6" s="1"/>
  <c r="P5" i="6"/>
  <c r="R5" i="6" s="1"/>
  <c r="P6" i="6"/>
  <c r="R6" i="6" s="1"/>
  <c r="P7" i="6"/>
  <c r="R7" i="6" s="1"/>
  <c r="P8" i="6"/>
  <c r="R8" i="6" s="1"/>
  <c r="P9" i="6"/>
  <c r="R9" i="6" s="1"/>
  <c r="P10" i="6"/>
  <c r="R10" i="6" s="1"/>
  <c r="P11" i="6"/>
  <c r="R11" i="6" s="1"/>
  <c r="P12" i="6"/>
  <c r="R12" i="6" s="1"/>
  <c r="P13" i="6"/>
  <c r="R13" i="6" s="1"/>
  <c r="P14" i="6"/>
  <c r="R14" i="6" s="1"/>
  <c r="P15" i="6"/>
  <c r="R15" i="6" s="1"/>
  <c r="P16" i="6"/>
  <c r="R16" i="6" s="1"/>
  <c r="P17" i="6"/>
  <c r="R17" i="6" s="1"/>
  <c r="P18" i="6"/>
  <c r="R18" i="6" s="1"/>
  <c r="P19" i="6"/>
  <c r="R19" i="6" s="1"/>
  <c r="P20" i="6"/>
  <c r="R20" i="6" s="1"/>
  <c r="P21" i="6"/>
  <c r="R21" i="6" s="1"/>
  <c r="P22" i="6"/>
  <c r="R22" i="6" s="1"/>
  <c r="P23" i="6"/>
  <c r="R23" i="6" s="1"/>
  <c r="P24" i="6"/>
  <c r="R24" i="6" s="1"/>
  <c r="P25" i="6"/>
  <c r="R25" i="6" s="1"/>
  <c r="P26" i="6"/>
  <c r="R26" i="6" s="1"/>
  <c r="P27" i="6"/>
  <c r="R27" i="6" s="1"/>
  <c r="P28" i="6"/>
  <c r="R28" i="6" s="1"/>
  <c r="P29" i="6"/>
  <c r="R29" i="6" s="1"/>
  <c r="P30" i="6"/>
  <c r="R30" i="6" s="1"/>
  <c r="P31" i="6"/>
  <c r="R31" i="6" s="1"/>
  <c r="P32" i="6"/>
  <c r="R32" i="6" s="1"/>
  <c r="P33" i="6"/>
  <c r="R33" i="6" s="1"/>
  <c r="P34" i="6"/>
  <c r="R34" i="6" s="1"/>
  <c r="P35" i="6"/>
  <c r="R35" i="6" s="1"/>
  <c r="P36" i="6"/>
  <c r="R36" i="6" s="1"/>
  <c r="P37" i="6"/>
  <c r="R37" i="6" s="1"/>
  <c r="P38" i="6"/>
  <c r="R38" i="6" s="1"/>
  <c r="P39" i="6"/>
  <c r="R39" i="6" s="1"/>
  <c r="P40" i="6"/>
  <c r="R40" i="6" s="1"/>
  <c r="P41" i="6"/>
  <c r="R41" i="6" s="1"/>
  <c r="P42" i="6"/>
  <c r="R42" i="6" s="1"/>
  <c r="P43" i="6"/>
  <c r="R43" i="6" s="1"/>
  <c r="P44" i="6"/>
  <c r="R44" i="6" s="1"/>
  <c r="P45" i="6"/>
  <c r="R45" i="6" s="1"/>
  <c r="P46" i="6"/>
  <c r="R46" i="6" s="1"/>
  <c r="P47" i="6"/>
  <c r="R47" i="6" s="1"/>
  <c r="P48" i="6"/>
  <c r="R48" i="6" s="1"/>
  <c r="P49" i="6"/>
  <c r="R49" i="6" s="1"/>
  <c r="P50" i="6"/>
  <c r="R50" i="6" s="1"/>
  <c r="P51" i="6"/>
  <c r="R51" i="6" s="1"/>
  <c r="P52" i="6"/>
  <c r="R52" i="6" s="1"/>
  <c r="P53" i="6"/>
  <c r="R53" i="6" s="1"/>
  <c r="P54" i="6"/>
  <c r="R54" i="6" s="1"/>
  <c r="P55" i="6"/>
  <c r="R55" i="6" s="1"/>
  <c r="P56" i="6"/>
  <c r="R56" i="6" s="1"/>
  <c r="P57" i="6"/>
  <c r="R57" i="6" s="1"/>
  <c r="P58" i="6"/>
  <c r="R58" i="6" s="1"/>
  <c r="P59" i="6"/>
  <c r="R59" i="6" s="1"/>
  <c r="P60" i="6"/>
  <c r="R60" i="6" s="1"/>
  <c r="P61" i="6"/>
  <c r="R61" i="6" s="1"/>
  <c r="P62" i="6"/>
  <c r="R62" i="6" s="1"/>
  <c r="P63" i="6"/>
  <c r="R63" i="6" s="1"/>
  <c r="P64" i="6"/>
  <c r="R64" i="6" s="1"/>
  <c r="P65" i="6"/>
  <c r="R65" i="6" s="1"/>
  <c r="P66" i="6"/>
  <c r="R66" i="6" s="1"/>
  <c r="P67" i="6"/>
  <c r="R67" i="6" s="1"/>
  <c r="P68" i="6"/>
  <c r="R68" i="6" s="1"/>
  <c r="P69" i="6"/>
  <c r="R69" i="6" s="1"/>
  <c r="P70" i="6"/>
  <c r="R70" i="6" s="1"/>
  <c r="P71" i="6"/>
  <c r="R71" i="6" s="1"/>
  <c r="P72" i="6"/>
  <c r="R72" i="6" s="1"/>
  <c r="P73" i="6"/>
  <c r="R73" i="6" s="1"/>
  <c r="P74" i="6"/>
  <c r="R74" i="6" s="1"/>
  <c r="P75" i="6"/>
  <c r="R75" i="6" s="1"/>
  <c r="P76" i="6"/>
  <c r="R76" i="6" s="1"/>
  <c r="P77" i="6"/>
  <c r="R77" i="6" s="1"/>
  <c r="P78" i="6"/>
  <c r="R78" i="6" s="1"/>
  <c r="P79" i="6"/>
  <c r="R79" i="6" s="1"/>
  <c r="P80" i="6"/>
  <c r="R80" i="6" s="1"/>
  <c r="P81" i="6"/>
  <c r="R81" i="6" s="1"/>
  <c r="P82" i="6"/>
  <c r="R82" i="6" s="1"/>
  <c r="P83" i="6"/>
  <c r="R83" i="6" s="1"/>
  <c r="P84" i="6"/>
  <c r="R84" i="6" s="1"/>
  <c r="P85" i="6"/>
  <c r="R85" i="6" s="1"/>
  <c r="P86" i="6"/>
  <c r="R86" i="6" s="1"/>
  <c r="P87" i="6"/>
  <c r="R87" i="6" s="1"/>
  <c r="P88" i="6"/>
  <c r="R88" i="6" s="1"/>
  <c r="P89" i="6"/>
  <c r="R89" i="6" s="1"/>
  <c r="P90" i="6"/>
  <c r="R90" i="6" s="1"/>
  <c r="P91" i="6"/>
  <c r="R91" i="6" s="1"/>
  <c r="P92" i="6"/>
  <c r="R92" i="6" s="1"/>
  <c r="P93" i="6"/>
  <c r="R93" i="6" s="1"/>
  <c r="P94" i="6"/>
  <c r="R94" i="6" s="1"/>
  <c r="P95" i="6"/>
  <c r="R95" i="6" s="1"/>
  <c r="P96" i="6"/>
  <c r="R96" i="6" s="1"/>
  <c r="P97" i="6"/>
  <c r="R97" i="6" s="1"/>
  <c r="P98" i="6"/>
  <c r="R98" i="6" s="1"/>
  <c r="P99" i="6"/>
  <c r="R99" i="6" s="1"/>
  <c r="P100" i="6"/>
  <c r="R100" i="6" s="1"/>
  <c r="P101" i="6"/>
  <c r="R101" i="6" s="1"/>
  <c r="P102" i="6"/>
  <c r="R102" i="6" s="1"/>
  <c r="P103" i="6"/>
  <c r="R103" i="6" s="1"/>
  <c r="X85" i="6" a="1"/>
  <c r="X85" i="6" s="1"/>
  <c r="X60" i="6" a="1"/>
  <c r="X60" i="6" s="1"/>
  <c r="X51" i="6" a="1"/>
  <c r="X51" i="6" s="1"/>
  <c r="X44" i="6" a="1"/>
  <c r="X44" i="6" s="1"/>
  <c r="X33" i="6" a="1"/>
  <c r="X33" i="6" s="1"/>
  <c r="X28" i="6" a="1"/>
  <c r="X28" i="6" s="1"/>
  <c r="X15" i="6" a="1"/>
  <c r="X15" i="6" s="1"/>
  <c r="X8" i="6" a="1"/>
  <c r="X8" i="6" s="1"/>
  <c r="W2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6" i="6"/>
  <c r="W27" i="6"/>
  <c r="W28" i="6"/>
  <c r="W29" i="6"/>
  <c r="W30" i="6"/>
  <c r="W31" i="6"/>
  <c r="W32" i="6"/>
  <c r="W33" i="6"/>
  <c r="W34" i="6"/>
  <c r="W35" i="6"/>
  <c r="W36" i="6"/>
  <c r="W37" i="6"/>
  <c r="W38" i="6"/>
  <c r="W39" i="6"/>
  <c r="W40" i="6"/>
  <c r="W41" i="6"/>
  <c r="W42" i="6"/>
  <c r="W43" i="6"/>
  <c r="W44" i="6"/>
  <c r="W45" i="6"/>
  <c r="W46" i="6"/>
  <c r="W47" i="6"/>
  <c r="W48" i="6"/>
  <c r="W49" i="6"/>
  <c r="W50" i="6"/>
  <c r="W51" i="6"/>
  <c r="W52" i="6"/>
  <c r="W53" i="6"/>
  <c r="W54" i="6"/>
  <c r="W55" i="6"/>
  <c r="W56" i="6"/>
  <c r="W57" i="6"/>
  <c r="W58" i="6"/>
  <c r="W59" i="6"/>
  <c r="W60" i="6"/>
  <c r="W61" i="6"/>
  <c r="W62" i="6"/>
  <c r="W63" i="6"/>
  <c r="W64" i="6"/>
  <c r="W65" i="6"/>
  <c r="W66" i="6"/>
  <c r="W67" i="6"/>
  <c r="W68" i="6"/>
  <c r="W69" i="6"/>
  <c r="W70" i="6"/>
  <c r="W71" i="6"/>
  <c r="W72" i="6"/>
  <c r="W73" i="6"/>
  <c r="W74" i="6"/>
  <c r="W75" i="6"/>
  <c r="W76" i="6"/>
  <c r="W77" i="6"/>
  <c r="W78" i="6"/>
  <c r="W79" i="6"/>
  <c r="W80" i="6"/>
  <c r="W81" i="6"/>
  <c r="W82" i="6"/>
  <c r="W83" i="6"/>
  <c r="W84" i="6"/>
  <c r="W85" i="6"/>
  <c r="W86" i="6"/>
  <c r="W87" i="6"/>
  <c r="W88" i="6"/>
  <c r="W89" i="6"/>
  <c r="W90" i="6"/>
  <c r="W91" i="6"/>
  <c r="W92" i="6"/>
  <c r="W93" i="6"/>
  <c r="W94" i="6"/>
  <c r="W95" i="6"/>
  <c r="W96" i="6"/>
  <c r="W97" i="6"/>
  <c r="W98" i="6"/>
  <c r="W99" i="6"/>
  <c r="W100" i="6"/>
  <c r="W101" i="6"/>
  <c r="W102" i="6"/>
  <c r="W103" i="6"/>
  <c r="W5" i="6"/>
  <c r="K2" i="7"/>
  <c r="K3" i="7"/>
  <c r="K4" i="7"/>
  <c r="L2" i="7"/>
  <c r="M2" i="7"/>
  <c r="L3" i="7"/>
  <c r="M3" i="7"/>
  <c r="L4" i="7"/>
  <c r="M4" i="7"/>
  <c r="K5" i="7"/>
  <c r="L5" i="7"/>
  <c r="M5" i="7"/>
  <c r="K6" i="7"/>
  <c r="L6" i="7"/>
  <c r="M6" i="7"/>
  <c r="K7" i="7"/>
  <c r="L7" i="7"/>
  <c r="M7" i="7"/>
  <c r="K8" i="7"/>
  <c r="L8" i="7"/>
  <c r="M8" i="7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<sst xmlns="http://schemas.openxmlformats.org/spreadsheetml/2006/main" count="1722" uniqueCount="555">
  <si>
    <t>Claim_ID</t>
  </si>
  <si>
    <t>DO_Number</t>
  </si>
  <si>
    <t>Carrier</t>
  </si>
  <si>
    <t>Claim_Type</t>
  </si>
  <si>
    <t>Claim_Date</t>
  </si>
  <si>
    <t>Filed_Date</t>
  </si>
  <si>
    <t>Claim_Amount</t>
  </si>
  <si>
    <t>Approved_Amount</t>
  </si>
  <si>
    <t>Claim_Status</t>
  </si>
  <si>
    <t>Days_Open</t>
  </si>
  <si>
    <t>Owner_Team</t>
  </si>
  <si>
    <t>Last_Follow_Up</t>
  </si>
  <si>
    <t>CLM-0001</t>
  </si>
  <si>
    <t>HUBG</t>
  </si>
  <si>
    <t>Damage</t>
  </si>
  <si>
    <t>Paid</t>
  </si>
  <si>
    <t>SEA</t>
  </si>
  <si>
    <t>CLM-0002</t>
  </si>
  <si>
    <t>RXO</t>
  </si>
  <si>
    <t>Denied</t>
  </si>
  <si>
    <t>CLM-0003</t>
  </si>
  <si>
    <t>DO-459002</t>
  </si>
  <si>
    <t>XPO</t>
  </si>
  <si>
    <t>Pending</t>
  </si>
  <si>
    <t>SDSA</t>
  </si>
  <si>
    <t>CLM-0004</t>
  </si>
  <si>
    <t>CLM-0005</t>
  </si>
  <si>
    <t>Open</t>
  </si>
  <si>
    <t>JBHUNT</t>
  </si>
  <si>
    <t>FEDEX</t>
  </si>
  <si>
    <t>Pulse</t>
  </si>
  <si>
    <t>BNSF</t>
  </si>
  <si>
    <t>=INDEX({"Damage","Shortage Full","Shortage Partial","WH damage","WH shortage","Theft"},RANDBETWEEN(1,6))</t>
  </si>
  <si>
    <t>=INDEX({"S360","S361","S362","S363","S364","S365","S250","S275"},RANDBETWEEN(1,8))</t>
  </si>
  <si>
    <t>=F4+RANDBETWEEN(1,120)</t>
  </si>
  <si>
    <t>=ROUND(RANDBETWEEN(50,200000),0)</t>
  </si>
  <si>
    <t>=INDEX({"Open","Pending","Paid","Denied"},RANDBETWEEN(1,4))</t>
  </si>
  <si>
    <t>=IF(RANDBETWEEN(1,10)&gt;=5,"SEA","SDSA")</t>
  </si>
  <si>
    <t>=DATE(2025,1,1)+RANDBETWEEN(0,355)</t>
  </si>
  <si>
    <t>Shortage Partial</t>
  </si>
  <si>
    <t>S363</t>
  </si>
  <si>
    <t>Shortage Full</t>
  </si>
  <si>
    <t>S360</t>
  </si>
  <si>
    <t>Theft</t>
  </si>
  <si>
    <t>S250</t>
  </si>
  <si>
    <t>WH shortage</t>
  </si>
  <si>
    <t>CLM-0008</t>
  </si>
  <si>
    <t>S275</t>
  </si>
  <si>
    <t>CLM-0009</t>
  </si>
  <si>
    <t>CLM-0010</t>
  </si>
  <si>
    <t>CLM-0011</t>
  </si>
  <si>
    <t>CLM-0012</t>
  </si>
  <si>
    <t>S365</t>
  </si>
  <si>
    <t>CLM-0013</t>
  </si>
  <si>
    <t>CLM-0014</t>
  </si>
  <si>
    <t>S362</t>
  </si>
  <si>
    <t>CLM-0015</t>
  </si>
  <si>
    <t>CLM-0016</t>
  </si>
  <si>
    <t>CLM-0017</t>
  </si>
  <si>
    <t>CLM-0018</t>
  </si>
  <si>
    <t>WH damage</t>
  </si>
  <si>
    <t>CLM-0019</t>
  </si>
  <si>
    <t>CLM-0020</t>
  </si>
  <si>
    <t>CLM-0021</t>
  </si>
  <si>
    <t>S361</t>
  </si>
  <si>
    <t>CLM-0022</t>
  </si>
  <si>
    <t>CLM-0023</t>
  </si>
  <si>
    <t>CLM-0024</t>
  </si>
  <si>
    <t>CLM-0025</t>
  </si>
  <si>
    <t>CLM-0026</t>
  </si>
  <si>
    <t>CLM-0027</t>
  </si>
  <si>
    <t>CLM-0028</t>
  </si>
  <si>
    <t>CLM-0029</t>
  </si>
  <si>
    <t>CLM-0030</t>
  </si>
  <si>
    <t>CLM-0031</t>
  </si>
  <si>
    <t>CLM-0032</t>
  </si>
  <si>
    <t>CLM-0033</t>
  </si>
  <si>
    <t>CLM-0034</t>
  </si>
  <si>
    <t>CLM-0035</t>
  </si>
  <si>
    <t>CLM-0036</t>
  </si>
  <si>
    <t>S364</t>
  </si>
  <si>
    <t>CLM-0037</t>
  </si>
  <si>
    <t>CLM-0038</t>
  </si>
  <si>
    <t>CLM-0039</t>
  </si>
  <si>
    <t>CLM-0040</t>
  </si>
  <si>
    <t>CLM-0041</t>
  </si>
  <si>
    <t>CLM-0042</t>
  </si>
  <si>
    <t>CLM-0043</t>
  </si>
  <si>
    <t>CLM-0044</t>
  </si>
  <si>
    <t>CLM-0045</t>
  </si>
  <si>
    <t>CLM-0046</t>
  </si>
  <si>
    <t>CLM-0047</t>
  </si>
  <si>
    <t>CLM-0048</t>
  </si>
  <si>
    <t>CLM-0049</t>
  </si>
  <si>
    <t>CLM-0050</t>
  </si>
  <si>
    <t>CLM-0051</t>
  </si>
  <si>
    <t>CLM-0052</t>
  </si>
  <si>
    <t>CLM-0053</t>
  </si>
  <si>
    <t>CLM-0054</t>
  </si>
  <si>
    <t>CLM-0055</t>
  </si>
  <si>
    <t>CLM-0056</t>
  </si>
  <si>
    <t>CLM-0057</t>
  </si>
  <si>
    <t>CLM-0058</t>
  </si>
  <si>
    <t>CLM-0059</t>
  </si>
  <si>
    <t>CLM-0060</t>
  </si>
  <si>
    <t>CLM-0061</t>
  </si>
  <si>
    <t>CLM-0062</t>
  </si>
  <si>
    <t>CLM-0063</t>
  </si>
  <si>
    <t>CLM-0064</t>
  </si>
  <si>
    <t>CLM-0065</t>
  </si>
  <si>
    <t>CLM-0066</t>
  </si>
  <si>
    <t>CLM-0067</t>
  </si>
  <si>
    <t>CLM-0068</t>
  </si>
  <si>
    <t>CLM-0069</t>
  </si>
  <si>
    <t>CLM-0070</t>
  </si>
  <si>
    <t>CLM-0071</t>
  </si>
  <si>
    <t>CLM-0072</t>
  </si>
  <si>
    <t>CLM-0073</t>
  </si>
  <si>
    <t>CLM-0074</t>
  </si>
  <si>
    <t>CLM-0075</t>
  </si>
  <si>
    <t>CLM-0076</t>
  </si>
  <si>
    <t>CLM-0077</t>
  </si>
  <si>
    <t>CLM-0078</t>
  </si>
  <si>
    <t>CLM-0079</t>
  </si>
  <si>
    <t>CLM-0080</t>
  </si>
  <si>
    <t>CLM-0081</t>
  </si>
  <si>
    <t>CLM-0082</t>
  </si>
  <si>
    <t>CLM-0083</t>
  </si>
  <si>
    <t>CLM-0084</t>
  </si>
  <si>
    <t>CLM-0085</t>
  </si>
  <si>
    <t>CLM-0086</t>
  </si>
  <si>
    <t>CLM-0087</t>
  </si>
  <si>
    <t>CLM-0088</t>
  </si>
  <si>
    <t>CLM-0089</t>
  </si>
  <si>
    <t>CLM-0090</t>
  </si>
  <si>
    <t>CLM-0091</t>
  </si>
  <si>
    <t>CLM-0092</t>
  </si>
  <si>
    <t>CLM-0093</t>
  </si>
  <si>
    <t>CLM-0094</t>
  </si>
  <si>
    <t>CLM-0095</t>
  </si>
  <si>
    <t>CLM-0096</t>
  </si>
  <si>
    <t>CLM-0097</t>
  </si>
  <si>
    <t>CLM-0098</t>
  </si>
  <si>
    <t>CLM-0099</t>
  </si>
  <si>
    <t>CLM-0100</t>
  </si>
  <si>
    <t>CLM-0101</t>
  </si>
  <si>
    <t>=G4+RANDBETWEEN(0,MAX(0,TODAY()-G4))</t>
  </si>
  <si>
    <t>="DO-" &amp; (459000 + ROW() - 3)</t>
  </si>
  <si>
    <t>DO-459001</t>
  </si>
  <si>
    <t>DO-459003</t>
  </si>
  <si>
    <t>DO-459004</t>
  </si>
  <si>
    <t>DO-459005</t>
  </si>
  <si>
    <t>DO-459006</t>
  </si>
  <si>
    <t>DO-459007</t>
  </si>
  <si>
    <t>DO-459008</t>
  </si>
  <si>
    <t>DO-459009</t>
  </si>
  <si>
    <t>DO-459010</t>
  </si>
  <si>
    <t>DO-459011</t>
  </si>
  <si>
    <t>DO-459012</t>
  </si>
  <si>
    <t>DO-459013</t>
  </si>
  <si>
    <t>DO-459014</t>
  </si>
  <si>
    <t>DO-459015</t>
  </si>
  <si>
    <t>DO-459016</t>
  </si>
  <si>
    <t>DO-459017</t>
  </si>
  <si>
    <t>DO-459018</t>
  </si>
  <si>
    <t>DO-459019</t>
  </si>
  <si>
    <t>DO-459020</t>
  </si>
  <si>
    <t>DO-459021</t>
  </si>
  <si>
    <t>DO-459022</t>
  </si>
  <si>
    <t>DO-459023</t>
  </si>
  <si>
    <t>DO-459024</t>
  </si>
  <si>
    <t>DO-459025</t>
  </si>
  <si>
    <t>DO-459026</t>
  </si>
  <si>
    <t>DO-459027</t>
  </si>
  <si>
    <t>DO-459028</t>
  </si>
  <si>
    <t>DO-459029</t>
  </si>
  <si>
    <t>DO-459030</t>
  </si>
  <si>
    <t>DO-459031</t>
  </si>
  <si>
    <t>DO-459032</t>
  </si>
  <si>
    <t>DO-459033</t>
  </si>
  <si>
    <t>DO-459034</t>
  </si>
  <si>
    <t>DO-459035</t>
  </si>
  <si>
    <t>DO-459036</t>
  </si>
  <si>
    <t>DO-459037</t>
  </si>
  <si>
    <t>DO-459038</t>
  </si>
  <si>
    <t>DO-459039</t>
  </si>
  <si>
    <t>DO-459040</t>
  </si>
  <si>
    <t>DO-459041</t>
  </si>
  <si>
    <t>DO-459042</t>
  </si>
  <si>
    <t>DO-459043</t>
  </si>
  <si>
    <t>DO-459044</t>
  </si>
  <si>
    <t>DO-459045</t>
  </si>
  <si>
    <t>DO-459046</t>
  </si>
  <si>
    <t>DO-459047</t>
  </si>
  <si>
    <t>DO-459048</t>
  </si>
  <si>
    <t>DO-459049</t>
  </si>
  <si>
    <t>DO-459050</t>
  </si>
  <si>
    <t>DO-459051</t>
  </si>
  <si>
    <t>DO-459052</t>
  </si>
  <si>
    <t>DO-459053</t>
  </si>
  <si>
    <t>DO-459054</t>
  </si>
  <si>
    <t>DO-459055</t>
  </si>
  <si>
    <t>DO-459056</t>
  </si>
  <si>
    <t>DO-459057</t>
  </si>
  <si>
    <t>DO-459058</t>
  </si>
  <si>
    <t>DO-459059</t>
  </si>
  <si>
    <t>DO-459060</t>
  </si>
  <si>
    <t>DO-459061</t>
  </si>
  <si>
    <t>DO-459062</t>
  </si>
  <si>
    <t>DO-459063</t>
  </si>
  <si>
    <t>DO-459064</t>
  </si>
  <si>
    <t>DO-459065</t>
  </si>
  <si>
    <t>DO-459066</t>
  </si>
  <si>
    <t>DO-459067</t>
  </si>
  <si>
    <t>DO-459068</t>
  </si>
  <si>
    <t>DO-459069</t>
  </si>
  <si>
    <t>DO-459070</t>
  </si>
  <si>
    <t>DO-459071</t>
  </si>
  <si>
    <t>DO-459072</t>
  </si>
  <si>
    <t>DO-459073</t>
  </si>
  <si>
    <t>DO-459074</t>
  </si>
  <si>
    <t>DO-459075</t>
  </si>
  <si>
    <t>DO-459076</t>
  </si>
  <si>
    <t>DO-459077</t>
  </si>
  <si>
    <t>DO-459078</t>
  </si>
  <si>
    <t>DO-459079</t>
  </si>
  <si>
    <t>DO-459080</t>
  </si>
  <si>
    <t>DO-459081</t>
  </si>
  <si>
    <t>DO-459082</t>
  </si>
  <si>
    <t>DO-459083</t>
  </si>
  <si>
    <t>DO-459084</t>
  </si>
  <si>
    <t>DO-459085</t>
  </si>
  <si>
    <t>DO-459086</t>
  </si>
  <si>
    <t>DO-459087</t>
  </si>
  <si>
    <t>DO-459088</t>
  </si>
  <si>
    <t>DO-459089</t>
  </si>
  <si>
    <t>DO-459090</t>
  </si>
  <si>
    <t>DO-459091</t>
  </si>
  <si>
    <t>DO-459092</t>
  </si>
  <si>
    <t>DO-459093</t>
  </si>
  <si>
    <t>DO-459094</t>
  </si>
  <si>
    <t>DO-459095</t>
  </si>
  <si>
    <t>DO-459096</t>
  </si>
  <si>
    <t>DO-459097</t>
  </si>
  <si>
    <t>DO-459098</t>
  </si>
  <si>
    <t>DO-459099</t>
  </si>
  <si>
    <t>Time_Bar_Flag</t>
  </si>
  <si>
    <t>Claim_Age_Bucket</t>
  </si>
  <si>
    <t>=IFS(
 K4&lt;=30,"0–30",
 K4&lt;=60,"31–60",
 K4&lt;=120,"61–120",
 TRUE,"120+"
)</t>
  </si>
  <si>
    <t>=LET(list, FILTER(Reference!$A$2:A50, Reference!$A$2:A50&lt;&gt;""),
     INDEX(list, RANDBETWEEN(1, ROWS(list))))</t>
  </si>
  <si>
    <t>Recovery_Rate</t>
  </si>
  <si>
    <t>At_Risk_Amount</t>
  </si>
  <si>
    <t>Follow_Up_Status</t>
  </si>
  <si>
    <t>RAW DATA</t>
  </si>
  <si>
    <t>Destination WH</t>
  </si>
  <si>
    <t>=IF(
  AND(OR(C4="HUBG",C4="XPO",C4="RXO",C4="FEDEX"), DAYS(H4,G4)&gt;60),
  "Time-Barred",
  IF(
    AND(OR(C4="JBHUNT",C4="BNSF",C4="Pulse"), DAYS(H4,G4)&gt;120),
    "Time-Barred",
    ""
  )
)</t>
  </si>
  <si>
    <t/>
  </si>
  <si>
    <t>Time-Barred</t>
  </si>
  <si>
    <t>Overdue</t>
  </si>
  <si>
    <t>Column Name</t>
  </si>
  <si>
    <t>Definition</t>
  </si>
  <si>
    <t>Source(Raw/Derived )</t>
  </si>
  <si>
    <t>Fomula/Logic</t>
  </si>
  <si>
    <t>Example</t>
  </si>
  <si>
    <t>Unique Delivery Order identifier used to track shipment/claim reference</t>
  </si>
  <si>
    <t>Third-party logistics provider handling the shipment</t>
  </si>
  <si>
    <t>Category of claim (e.g., WH Damage, WH Shortage, Transit Damage, Transit Shortage, Theft)</t>
  </si>
  <si>
    <t>Origin warehouse code</t>
  </si>
  <si>
    <t>Destination warehouse code</t>
  </si>
  <si>
    <t>Date incident occurred / claim event date</t>
  </si>
  <si>
    <t>Date claim was officially filed/submitted to carrier</t>
  </si>
  <si>
    <t>Total claimed amount requested (USD)</t>
  </si>
  <si>
    <t>Amount approved/cleared for recovery (USD)</t>
  </si>
  <si>
    <t>Current status of claim (Open, Pending, Denied, Paid)</t>
  </si>
  <si>
    <t>Approved_Amount as a % of Claim_Amount</t>
  </si>
  <si>
    <t>Number of days since Filed_Date (aging)</t>
  </si>
  <si>
    <t>Internal branch responsible for follow-up (Claims, Logistics, WH, etc.)</t>
  </si>
  <si>
    <t>Date of most recent follow-up sent/received</t>
  </si>
  <si>
    <t>Follow-up urgency label based on Days_Open + status/last follow-up</t>
  </si>
  <si>
    <t>Flag for claims that exceed carrier time-barred limits</t>
  </si>
  <si>
    <t>Aging band for easy reporting (0–30, 31–60, etc.)</t>
  </si>
  <si>
    <t>Dollar exposure at risk due to time-bar or overdue aging</t>
  </si>
  <si>
    <t>Raw</t>
  </si>
  <si>
    <t>Provided from shipment/claim source data</t>
  </si>
  <si>
    <t>DO-240918-001</t>
  </si>
  <si>
    <r>
      <t xml:space="preserve">Provided from source; recommended normalization: </t>
    </r>
    <r>
      <rPr>
        <sz val="10"/>
        <color theme="1"/>
        <rFont val="Arial Unicode MS"/>
        <family val="2"/>
      </rPr>
      <t>UPPER(TRIM())</t>
    </r>
  </si>
  <si>
    <t>WH Shortage</t>
  </si>
  <si>
    <t>Provided from source</t>
  </si>
  <si>
    <t>Derived</t>
  </si>
  <si>
    <t>Provided from source data</t>
  </si>
  <si>
    <t>Provided from source (currency formatted)</t>
  </si>
  <si>
    <t>If provided: raw. If calculated: sum of cleared payments for the claim.</t>
  </si>
  <si>
    <t>CL-Closed AR Cleared</t>
  </si>
  <si>
    <r>
      <t>IFERROR(Approved_Amount / Claim_Amount, 0)</t>
    </r>
    <r>
      <rPr>
        <sz val="12"/>
        <color theme="1"/>
        <rFont val="Aptos Narrow"/>
        <family val="2"/>
        <scheme val="minor"/>
      </rPr>
      <t xml:space="preserve"> formatted as %</t>
    </r>
  </si>
  <si>
    <t>Provided from assignment or manually selected via dropdown</t>
  </si>
  <si>
    <t>Manual entry or pulled from log</t>
  </si>
  <si>
    <r>
      <t xml:space="preserve">Example: </t>
    </r>
    <r>
      <rPr>
        <sz val="10"/>
        <color theme="1"/>
        <rFont val="Arial Unicode MS"/>
        <family val="2"/>
      </rPr>
      <t>0–30</t>
    </r>
    <r>
      <rPr>
        <sz val="12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  <family val="2"/>
      </rPr>
      <t>31–60</t>
    </r>
    <r>
      <rPr>
        <sz val="12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  <family val="2"/>
      </rPr>
      <t>61–90</t>
    </r>
    <r>
      <rPr>
        <sz val="12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  <family val="2"/>
      </rPr>
      <t>91–120</t>
    </r>
    <r>
      <rPr>
        <sz val="12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  <family val="2"/>
      </rPr>
      <t>121+</t>
    </r>
    <r>
      <rPr>
        <sz val="12"/>
        <color theme="1"/>
        <rFont val="Aptos Narrow"/>
        <family val="2"/>
        <scheme val="minor"/>
      </rPr>
      <t xml:space="preserve"> based on Days_Open</t>
    </r>
  </si>
  <si>
    <t>121+</t>
  </si>
  <si>
    <t>Origin_WH</t>
  </si>
  <si>
    <t>Manually entered by the user based on current claim disposition. Not system-derived.</t>
  </si>
  <si>
    <r>
      <t xml:space="preserve">Recommended stable method: </t>
    </r>
    <r>
      <rPr>
        <sz val="10"/>
        <color theme="1"/>
        <rFont val="Arial Unicode MS"/>
        <family val="2"/>
      </rPr>
      <t>As_Of_Date - Filed_Date</t>
    </r>
    <r>
      <rPr>
        <sz val="12"/>
        <color theme="1"/>
        <rFont val="Aptos Narrow"/>
        <family val="2"/>
        <scheme val="minor"/>
      </rPr>
      <t xml:space="preserve"> (As_Of_Date is a fixed cell)</t>
    </r>
  </si>
  <si>
    <t>Example logic: if Open/Pending and (no follow-up in X days) → “Overdue”; else “On Track”; if Closed → No follow up needed</t>
  </si>
  <si>
    <t>If Carrier in {HUBG,XPO,RXO,FEDEX} and Filed_Date&gt;60 → Time-Barred. If Carrier in {JBHUNT,BNSF,PULSE} and Filed_Date&gt;120 → Time-Barred. Else blank.</t>
  </si>
  <si>
    <r>
      <t xml:space="preserve">Dollar exposure at risk due to time-barred or overdue claim aging. Simple version: </t>
    </r>
    <r>
      <rPr>
        <sz val="10"/>
        <color theme="1"/>
        <rFont val="Arial Unicode MS"/>
        <family val="2"/>
      </rPr>
      <t>IF(Time_Bar_Flag="Time-Barred", Claim_Amount, 0)</t>
    </r>
  </si>
  <si>
    <t>All dates evaluated using a fixed As_Of_Date for reproducibility.</t>
  </si>
  <si>
    <t>Dataset is anonymized and representative of operational claim workflows.</t>
  </si>
  <si>
    <t>58828FSDVZLV48973823683</t>
  </si>
  <si>
    <t>2252573128</t>
  </si>
  <si>
    <t>52002FSDVZLV47977839441</t>
  </si>
  <si>
    <t>2421782620</t>
  </si>
  <si>
    <t>2595790920</t>
  </si>
  <si>
    <t>44876FSDVZLV47068879307</t>
  </si>
  <si>
    <t>BNSF-2026-771256</t>
  </si>
  <si>
    <t>59875FSDVZLV48576703090</t>
  </si>
  <si>
    <t>BNSF-2026-572546</t>
  </si>
  <si>
    <t>2644849642</t>
  </si>
  <si>
    <t>02784FSDVZLV40239437846</t>
  </si>
  <si>
    <t>57672FSDVZLV49878877633</t>
  </si>
  <si>
    <t>60243FSDVZLV43458348050</t>
  </si>
  <si>
    <t>2620236546</t>
  </si>
  <si>
    <t>BNSF-2026-118970</t>
  </si>
  <si>
    <t>2502194877</t>
  </si>
  <si>
    <t>BNSF-2026-596048</t>
  </si>
  <si>
    <t>1Z3105597452761598</t>
  </si>
  <si>
    <t>BNSF-2026-773424</t>
  </si>
  <si>
    <t>2593968064</t>
  </si>
  <si>
    <t>60065FSDVZLV48930092820</t>
  </si>
  <si>
    <t>16162FSDVZLV45243020982</t>
  </si>
  <si>
    <t>BNSF-2026-814487</t>
  </si>
  <si>
    <t>2435656829</t>
  </si>
  <si>
    <t>2679118818</t>
  </si>
  <si>
    <t>1Z8883259281859374</t>
  </si>
  <si>
    <t>82785FSDVZLV41792146772</t>
  </si>
  <si>
    <t>1Z3418509185992034</t>
  </si>
  <si>
    <t>BNSF-2026-251844</t>
  </si>
  <si>
    <t>2279781380</t>
  </si>
  <si>
    <t>2688952001</t>
  </si>
  <si>
    <t>2427881880</t>
  </si>
  <si>
    <t>2551113738</t>
  </si>
  <si>
    <t>1Z9392475662603227</t>
  </si>
  <si>
    <t>2838994898</t>
  </si>
  <si>
    <t>BNSF-2026-974442</t>
  </si>
  <si>
    <t>36447FSDVZLV43473802305</t>
  </si>
  <si>
    <t>BNSF-2026-919602</t>
  </si>
  <si>
    <t>2533038437</t>
  </si>
  <si>
    <t>89662FSDVZLV47543209565</t>
  </si>
  <si>
    <t>92832FSDVZLV47724174408</t>
  </si>
  <si>
    <t>55364FSDVZLV41388430723</t>
  </si>
  <si>
    <t>90116FSDVZLV49338300894</t>
  </si>
  <si>
    <t>2784032436</t>
  </si>
  <si>
    <t>25656FSDVZLV40129438122</t>
  </si>
  <si>
    <t>1Z7590233035508745</t>
  </si>
  <si>
    <t>2597069957</t>
  </si>
  <si>
    <t>2576509737</t>
  </si>
  <si>
    <t>BNSF-2026-869801</t>
  </si>
  <si>
    <t>30915FSDVZLV48716690220</t>
  </si>
  <si>
    <t>BNSF-2026-261497</t>
  </si>
  <si>
    <t>2429525821</t>
  </si>
  <si>
    <t>2616519682</t>
  </si>
  <si>
    <t>1Z3496177017675687</t>
  </si>
  <si>
    <t>2868008172</t>
  </si>
  <si>
    <t>2737174206</t>
  </si>
  <si>
    <t>2970429352</t>
  </si>
  <si>
    <t>70509FSDVZLV43022235112</t>
  </si>
  <si>
    <t>90059FSDVZLV45408153322</t>
  </si>
  <si>
    <t>BNSF-2026-296085</t>
  </si>
  <si>
    <t>2708640705</t>
  </si>
  <si>
    <t>2801687220</t>
  </si>
  <si>
    <t>1Z1788959225825775</t>
  </si>
  <si>
    <t>1Z9752434837148750</t>
  </si>
  <si>
    <t>33392FSDVZLV41814449364</t>
  </si>
  <si>
    <t>54568FSDVZLV43913882917</t>
  </si>
  <si>
    <t>2950719810</t>
  </si>
  <si>
    <t>1Z1814971991299283</t>
  </si>
  <si>
    <t>92090FSDVZLV46420099371</t>
  </si>
  <si>
    <t>1Z3090273354135837</t>
  </si>
  <si>
    <t>2267888212</t>
  </si>
  <si>
    <t>22808FSDVZLV48112026388</t>
  </si>
  <si>
    <t>2310609492</t>
  </si>
  <si>
    <t>2946641737</t>
  </si>
  <si>
    <t>1Z5009763520424799</t>
  </si>
  <si>
    <t>2133742186</t>
  </si>
  <si>
    <t>49380FSDVZLV44120474966</t>
  </si>
  <si>
    <t>2338921955</t>
  </si>
  <si>
    <t>1Z5830104233391617</t>
  </si>
  <si>
    <t>BNSF-2026-657040</t>
  </si>
  <si>
    <t>49871FSDVZLV46966845701</t>
  </si>
  <si>
    <t>1Z4446933460705285</t>
  </si>
  <si>
    <t>84959FSDVZLV44396790551</t>
  </si>
  <si>
    <t>35831FSDVZLV44638200579</t>
  </si>
  <si>
    <t>2258557632</t>
  </si>
  <si>
    <t>86654FSDVZLV46173069575</t>
  </si>
  <si>
    <t>Carrier_Reference_Type</t>
  </si>
  <si>
    <t>Carrier_Reference_ID</t>
  </si>
  <si>
    <t>=IFS(
  C4="FEDEX","Tracking Number",
  C4="HUBG","Customer PO Number",
  C4="RXO","Carrier Claim Number",
  C4="XPO","Carrier Claim Number",
 C4="BNSF","Carrier Claim Number",
C4="JBHUNT","Carrier Claim Number",
  TRUE,""
)</t>
  </si>
  <si>
    <t>Carrier_SCAC_Code</t>
  </si>
  <si>
    <t>PULSE</t>
  </si>
  <si>
    <t>=IFS(
  C4="FEDEX",
    "1Z"&amp;
    TEXT(RANDBETWEEN(100000,999999),"000000")&amp;
    TEXT(RANDBETWEEN(1000000000,9999999999),"0000000000"),
  OR(C4="HUBG",C4="PULSE"),
    "2"&amp;TEXT(RANDBETWEEN(100000000,999999999),"000000000"),
  OR(C4="RXO",C4="XPO"),
    TEXT(RANDBETWEEN(0,99999),"00000")&amp;
    "FSDVZLV4"&amp;
    TEXT(RANDBETWEEN(0,9999999999),"0000000000"),
  C4="BNSF",
    "BNSF-"&amp;
    TEXT(YEAR(TODAY()),"0000")&amp;"-"&amp;
    TEXT(RANDBETWEEN(100000,999999),"000000"),
  C4="JBHUNT",
    A4,
  TRUE,""
)</t>
  </si>
  <si>
    <t>Carrier_Name</t>
  </si>
  <si>
    <t>Vendor_Code</t>
  </si>
  <si>
    <t>SCAC_Code</t>
  </si>
  <si>
    <t>Vendor_Email</t>
  </si>
  <si>
    <t>Country</t>
  </si>
  <si>
    <t>Region/State</t>
  </si>
  <si>
    <t>Postal</t>
  </si>
  <si>
    <t>Street</t>
  </si>
  <si>
    <t>District</t>
  </si>
  <si>
    <t>City</t>
  </si>
  <si>
    <t>Telephone</t>
  </si>
  <si>
    <t>Mobile</t>
  </si>
  <si>
    <t>Fax</t>
  </si>
  <si>
    <t>Tax_Number</t>
  </si>
  <si>
    <t>Rep_Name</t>
  </si>
  <si>
    <t>Industry</t>
  </si>
  <si>
    <t>Notes</t>
  </si>
  <si>
    <t>FDXV</t>
  </si>
  <si>
    <t>FXDM</t>
  </si>
  <si>
    <t>claims@fdxv-logistics.com</t>
  </si>
  <si>
    <t>USA</t>
  </si>
  <si>
    <t>TN</t>
  </si>
  <si>
    <t>3850 Air Cargo Rd</t>
  </si>
  <si>
    <t>Airport District</t>
  </si>
  <si>
    <t>Memphis</t>
  </si>
  <si>
    <t>US-94-5123087</t>
  </si>
  <si>
    <t>Jordan Reed</t>
  </si>
  <si>
    <t>carrier / parcel</t>
  </si>
  <si>
    <t>Tracking-based ref ID</t>
  </si>
  <si>
    <t>HBGV</t>
  </si>
  <si>
    <t>HBGX</t>
  </si>
  <si>
    <t>support@hbgv-3pl.com</t>
  </si>
  <si>
    <t>IL</t>
  </si>
  <si>
    <t>233 W Lake St</t>
  </si>
  <si>
    <t>Loop</t>
  </si>
  <si>
    <t>Chicago</t>
  </si>
  <si>
    <t>US-36-7789201</t>
  </si>
  <si>
    <t>Mia Carter</t>
  </si>
  <si>
    <t>3pl / broker</t>
  </si>
  <si>
    <t>Uses Customer PO ref</t>
  </si>
  <si>
    <t>RXOV</t>
  </si>
  <si>
    <t>RXOL</t>
  </si>
  <si>
    <t>claims@rxov-transport.com</t>
  </si>
  <si>
    <t>NC</t>
  </si>
  <si>
    <t>400 Trade St</t>
  </si>
  <si>
    <t>Uptown</t>
  </si>
  <si>
    <t>Charlotte</t>
  </si>
  <si>
    <t>US-81-9034472</t>
  </si>
  <si>
    <t>Evan Kim</t>
  </si>
  <si>
    <t>carrier / broker</t>
  </si>
  <si>
    <t>Carrier claim # after submit</t>
  </si>
  <si>
    <t>XPOV</t>
  </si>
  <si>
    <t>XPOL</t>
  </si>
  <si>
    <t>claims@xpov-freight.com</t>
  </si>
  <si>
    <t>MI</t>
  </si>
  <si>
    <t>210 Market Ave</t>
  </si>
  <si>
    <t>Downtown</t>
  </si>
  <si>
    <t>Grand Rapids</t>
  </si>
  <si>
    <t>US-52-1184409</t>
  </si>
  <si>
    <t>Sophia Nguyen</t>
  </si>
  <si>
    <t>carrier / LTL</t>
  </si>
  <si>
    <t>JBHV</t>
  </si>
  <si>
    <t>JBHT</t>
  </si>
  <si>
    <t>billing@jbhv-logistics.com</t>
  </si>
  <si>
    <t>AR</t>
  </si>
  <si>
    <t>615 JBV Pkwy</t>
  </si>
  <si>
    <t>Northwest</t>
  </si>
  <si>
    <t>Bentonville</t>
  </si>
  <si>
    <t>US-73-6601820</t>
  </si>
  <si>
    <t>Chris Park</t>
  </si>
  <si>
    <t>carrier / intermodal</t>
  </si>
  <si>
    <t>Uses internal Claim_ID</t>
  </si>
  <si>
    <t>BNFV</t>
  </si>
  <si>
    <t>claims@bnfv-rail.com</t>
  </si>
  <si>
    <t>TX</t>
  </si>
  <si>
    <t>2650 Rail Yard Blvd</t>
  </si>
  <si>
    <t>Northside</t>
  </si>
  <si>
    <t>Fort Worth</t>
  </si>
  <si>
    <t>US-11-5409823</t>
  </si>
  <si>
    <t>Taylor Brooks</t>
  </si>
  <si>
    <t>rail / carrier</t>
  </si>
  <si>
    <t>Rail claim ref</t>
  </si>
  <si>
    <t>PLSV</t>
  </si>
  <si>
    <t>PLSC</t>
  </si>
  <si>
    <t>help@plsv-logis.com</t>
  </si>
  <si>
    <t>CA</t>
  </si>
  <si>
    <t>1200 Harbor Way</t>
  </si>
  <si>
    <t>Harbor</t>
  </si>
  <si>
    <t>Carson</t>
  </si>
  <si>
    <t>US-67-9021140</t>
  </si>
  <si>
    <t>Alex Choi</t>
  </si>
  <si>
    <t>logistics / warehouse</t>
  </si>
  <si>
    <t>Uses Customer PO style</t>
  </si>
  <si>
    <t>=XLOOKUP(C4,Vendor_Code!A:A,Vendor_Code!C:C,"",0)</t>
  </si>
  <si>
    <t>Carrier_Vendor_Code</t>
  </si>
  <si>
    <t>=XLOOKUP(C4,Vendor_Code!A:A,Vendor_Code!B:B,"",0)</t>
  </si>
  <si>
    <t>Loss_Track</t>
  </si>
  <si>
    <t>Loss Track</t>
  </si>
  <si>
    <t>Plant</t>
  </si>
  <si>
    <t>Plant~Loading Port</t>
  </si>
  <si>
    <t>Loading Port</t>
  </si>
  <si>
    <t>Loading Port~Destination Port</t>
  </si>
  <si>
    <t>Destination Port</t>
  </si>
  <si>
    <t>Destination Port~Warehouse</t>
  </si>
  <si>
    <t>Warehouse~Customer</t>
  </si>
  <si>
    <t>Customer</t>
  </si>
  <si>
    <t>Return (Customer~Warehouse)</t>
  </si>
  <si>
    <t>Warehouse~X-Dock</t>
  </si>
  <si>
    <t>X-Dock</t>
  </si>
  <si>
    <t>X-Dock~Customer</t>
  </si>
  <si>
    <t>Customer~X-Dock</t>
  </si>
  <si>
    <t>X-Dock~Warehouse</t>
  </si>
  <si>
    <t>Loading Port/Border/Plant~Customer</t>
  </si>
  <si>
    <t>Warehouse~Warehouse</t>
  </si>
  <si>
    <t>Warehouse(Soure WH)</t>
  </si>
  <si>
    <t>TL Center</t>
  </si>
  <si>
    <t>TL Center~WH</t>
  </si>
  <si>
    <t>Factory~WH</t>
  </si>
  <si>
    <t>Unloading Port~TL Center</t>
  </si>
  <si>
    <t>Factory to Customer</t>
  </si>
  <si>
    <t>0001</t>
  </si>
  <si>
    <t>0002</t>
  </si>
  <si>
    <t>0003</t>
  </si>
  <si>
    <t>0004</t>
  </si>
  <si>
    <t>0005</t>
  </si>
  <si>
    <t>0006</t>
  </si>
  <si>
    <t>0007</t>
  </si>
  <si>
    <t>0008</t>
  </si>
  <si>
    <t>0009</t>
  </si>
  <si>
    <t>0010</t>
  </si>
  <si>
    <t>0011</t>
  </si>
  <si>
    <t>0012</t>
  </si>
  <si>
    <t>0013</t>
  </si>
  <si>
    <t>0014</t>
  </si>
  <si>
    <t>0015</t>
  </si>
  <si>
    <t>0016</t>
  </si>
  <si>
    <t>0017</t>
  </si>
  <si>
    <t>0018</t>
  </si>
  <si>
    <t>0019</t>
  </si>
  <si>
    <t>0020</t>
  </si>
  <si>
    <t>0021</t>
  </si>
  <si>
    <t>0022</t>
  </si>
  <si>
    <t>0023</t>
  </si>
  <si>
    <t>Loss Track Code</t>
  </si>
  <si>
    <t>Warehouse(Destination WH)</t>
  </si>
  <si>
    <t>=LET(
  ct, LOWER(TRIM(H4)),
  code_list, FILTER(Reference!$B$2:$B$100, Reference!$B$2:$B$100&lt;&gt;""),
  rnd_code, INDEX(code_list, RANDBETWEEN(1, ROWS(code_list))),
  IF(
    ct="wh damage", "Warehouse(Destination WH)",
    IF(ct="wh shortage", "Warehouse(Soure WH)", rnd_code)
  )
)</t>
  </si>
  <si>
    <t>Loss_Tack_Code</t>
  </si>
  <si>
    <t>=LET(
  key, TRIM(SUBSTITUTE(SUBSTITUTE(I4,CHAR(160)," "), "～","~")),
  lk,  TRIM(SUBSTITUTE(SUBSTITUTE(Reference!$B$2:$B$24,CHAR(160)," "), "～","~")),
  IFERROR(XLOOKUP(key, lk, Reference!$C$2:$C$24, ""), "")
)</t>
  </si>
  <si>
    <t>Carrier Claim Number</t>
  </si>
  <si>
    <t>Customer PO Number</t>
  </si>
  <si>
    <t>Tracking Number</t>
  </si>
  <si>
    <t>=IF(P4=0,"",P4/O4)</t>
  </si>
  <si>
    <t>=today()-N4</t>
  </si>
  <si>
    <t>Fomula</t>
  </si>
  <si>
    <t>Fixed</t>
  </si>
  <si>
    <t>=IF(Q4="Paid", ROUND(O4*RANDBETWEEN(60,100)/100,0),
 IF(Q4="Pending", ROUND(O4*RANDBETWEEN(0,60)/100,0),
 0))</t>
  </si>
  <si>
    <t>=IF(OR(Q5="Paid",Q5="Denied",W5="Time-Barred"),
    "No Follow-Up Needed",
 IF(TODAY()-U5&gt;14,
    "Overdue",
 IF(TODAY()-U5&gt;10,
    "Due Soon",
    "On Track")))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</si>
</sst>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#,##0.00"/>
  </numFmts>
  <fonts count="5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0"/>
      <color theme="1"/>
      <name val="Arial Unicode MS"/>
      <family val="2"/>
    </font>
    <font>
      <u/>
      <sz val="12"/>
      <color theme="10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4">
    <xf numFmtId="0" fontId="0" fillId="0" borderId="0" xfId="0"/>
    <xf numFmtId="14" fontId="0" fillId="0" borderId="0" xfId="0" applyNumberFormat="1"/>
    <xf numFmtId="0" fontId="0" fillId="2" borderId="0" xfId="0" applyFill="1" applyAlignment="1">
      <alignment wrapText="1"/>
    </xf>
    <xf numFmtId="0" fontId="0" fillId="2" borderId="0" xfId="0" applyFill="1"/>
    <xf numFmtId="0" fontId="0" fillId="0" borderId="0" xfId="0" quotePrefix="1" applyAlignment="1">
      <alignment wrapText="1"/>
    </xf>
    <xf numFmtId="0" fontId="0" fillId="0" borderId="0" xfId="0" applyAlignment="1">
      <alignment wrapText="1"/>
    </xf>
    <xf numFmtId="1" fontId="0" fillId="2" borderId="0" xfId="0" applyNumberFormat="1" applyFill="1"/>
    <xf numFmtId="1" fontId="0" fillId="0" borderId="0" xfId="0" applyNumberFormat="1"/>
    <xf numFmtId="1" fontId="0" fillId="0" borderId="0" xfId="0" quotePrefix="1" applyNumberFormat="1" applyAlignment="1">
      <alignment wrapText="1"/>
    </xf>
    <xf numFmtId="164" fontId="0" fillId="0" borderId="0" xfId="0" quotePrefix="1" applyNumberFormat="1" applyAlignment="1">
      <alignment wrapText="1"/>
    </xf>
    <xf numFmtId="164" fontId="0" fillId="2" borderId="0" xfId="0" applyNumberFormat="1" applyFill="1"/>
    <xf numFmtId="164" fontId="0" fillId="0" borderId="0" xfId="0" applyNumberFormat="1"/>
    <xf numFmtId="44" fontId="0" fillId="0" borderId="0" xfId="0" quotePrefix="1" applyNumberFormat="1" applyAlignment="1">
      <alignment wrapText="1"/>
    </xf>
    <xf numFmtId="44" fontId="0" fillId="2" borderId="0" xfId="0" applyNumberFormat="1" applyFill="1"/>
    <xf numFmtId="44" fontId="0" fillId="0" borderId="0" xfId="0" applyNumberFormat="1"/>
    <xf numFmtId="0" fontId="0" fillId="3" borderId="0" xfId="0" applyFill="1"/>
    <xf numFmtId="9" fontId="0" fillId="0" borderId="0" xfId="0" applyNumberFormat="1"/>
    <xf numFmtId="9" fontId="0" fillId="0" borderId="0" xfId="0" quotePrefix="1" applyNumberFormat="1" applyAlignment="1">
      <alignment wrapText="1"/>
    </xf>
    <xf numFmtId="9" fontId="0" fillId="3" borderId="0" xfId="0" applyNumberFormat="1" applyFill="1"/>
    <xf numFmtId="164" fontId="0" fillId="0" borderId="0" xfId="0" applyNumberFormat="1" applyAlignment="1">
      <alignment wrapText="1"/>
    </xf>
    <xf numFmtId="9" fontId="0" fillId="0" borderId="0" xfId="0" applyNumberFormat="1" applyAlignment="1">
      <alignment horizontal="left" vertical="top"/>
    </xf>
    <xf numFmtId="44" fontId="0" fillId="0" borderId="0" xfId="0" applyNumberFormat="1" applyAlignment="1">
      <alignment horizontal="left" vertical="top"/>
    </xf>
    <xf numFmtId="0" fontId="0" fillId="0" borderId="0" xfId="0" applyAlignment="1">
      <alignment horizontal="left" vertical="top"/>
    </xf>
    <xf numFmtId="0" fontId="1" fillId="0" borderId="0" xfId="0" applyFont="1"/>
    <xf numFmtId="4" fontId="0" fillId="0" borderId="0" xfId="0" applyNumberFormat="1"/>
    <xf numFmtId="0" fontId="2" fillId="0" borderId="0" xfId="0" applyFont="1"/>
    <xf numFmtId="10" fontId="0" fillId="0" borderId="0" xfId="0" applyNumberFormat="1"/>
    <xf numFmtId="0" fontId="0" fillId="0" borderId="0" xfId="0" applyAlignment="1">
      <alignment horizontal="left"/>
    </xf>
    <xf numFmtId="0" fontId="0" fillId="2" borderId="0" xfId="0" applyFill="1" applyAlignment="1">
      <alignment horizontal="left"/>
    </xf>
    <xf numFmtId="14" fontId="0" fillId="0" borderId="0" xfId="0" applyNumberFormat="1" applyAlignment="1">
      <alignment horizontal="left"/>
    </xf>
    <xf numFmtId="10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0" fontId="3" fillId="0" borderId="0" xfId="1"/>
    <xf numFmtId="49" fontId="0" fillId="0" borderId="0" xfId="0" applyNumberFormat="1"/>
  </cellXfs>
  <cellStyles count="2">
    <cellStyle name="Hyperlink" xfId="1" builtinId="8"/>
    <cellStyle name="Normal" xfId="0" builtinId="0"/>
  </cellStyles>
  <dxfs count="16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BB679"/>
        </patternFill>
      </fill>
    </dxf>
    <dxf>
      <fill>
        <patternFill>
          <bgColor rgb="FFFBB679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rgb="FFFF362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BB679"/>
        </patternFill>
      </fill>
    </dxf>
    <dxf>
      <fill>
        <patternFill>
          <bgColor rgb="FFFBB679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  <color theme="0"/>
      </font>
      <fill>
        <patternFill>
          <bgColor rgb="FFFF3622"/>
        </patternFill>
      </fill>
    </dxf>
  </dxfs>
  <tableStyles count="0" defaultTableStyle="TableStyleMedium2" defaultPivotStyle="PivotStyleLight16"/>
  <colors>
    <mruColors>
      <color rgb="FFEDEDEE"/>
      <color rgb="FFFEDC02"/>
      <color rgb="FFFDEC07"/>
      <color rgb="FFFA4906"/>
      <color rgb="FFF85707"/>
      <color rgb="FFFDB805"/>
      <color rgb="FFFFFFFF"/>
      <color rgb="FFFBB679"/>
      <color rgb="FFFF3622"/>
      <color rgb="FFFF6C5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claims@rxov-transport.com" TargetMode="External"/><Relationship Id="rId7" Type="http://schemas.openxmlformats.org/officeDocument/2006/relationships/hyperlink" Target="mailto:help@plsv-logis.com" TargetMode="External"/><Relationship Id="rId2" Type="http://schemas.openxmlformats.org/officeDocument/2006/relationships/hyperlink" Target="mailto:support@hbgv-3pl.com" TargetMode="External"/><Relationship Id="rId1" Type="http://schemas.openxmlformats.org/officeDocument/2006/relationships/hyperlink" Target="mailto:claims@fdxv-logistics.com" TargetMode="External"/><Relationship Id="rId6" Type="http://schemas.openxmlformats.org/officeDocument/2006/relationships/hyperlink" Target="mailto:claims@bnfv-rail.com" TargetMode="External"/><Relationship Id="rId5" Type="http://schemas.openxmlformats.org/officeDocument/2006/relationships/hyperlink" Target="mailto:billing@jbhv-logistics.com" TargetMode="External"/><Relationship Id="rId4" Type="http://schemas.openxmlformats.org/officeDocument/2006/relationships/hyperlink" Target="mailto:claims@xpov-freigh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411500-E53D-394B-A158-6FD7326EAD0E}">
  <sheetPr codeName="Sheet1"/>
  <dimension ref="A1:Y103"/>
  <sheetViews>
    <sheetView tabSelected="1" topLeftCell="J1" zoomScale="111" zoomScaleNormal="130" workbookViewId="0">
      <selection activeCell="W5" sqref="W5"/>
    </sheetView>
  </sheetViews>
  <sheetFormatPr baseColWidth="10" defaultRowHeight="16" x14ac:dyDescent="0.2"/>
  <cols>
    <col min="1" max="1" width="12.83203125" customWidth="1"/>
    <col min="3" max="3" width="22.6640625" bestFit="1" customWidth="1"/>
    <col min="4" max="7" width="22.6640625" customWidth="1"/>
    <col min="8" max="8" width="14.6640625" customWidth="1"/>
    <col min="9" max="10" width="26" customWidth="1"/>
    <col min="11" max="11" width="12.1640625" customWidth="1"/>
    <col min="12" max="12" width="16.5" customWidth="1"/>
    <col min="13" max="13" width="13.33203125" bestFit="1" customWidth="1"/>
    <col min="14" max="14" width="12.5" bestFit="1" customWidth="1"/>
    <col min="15" max="15" width="11.83203125" style="11" customWidth="1"/>
    <col min="16" max="16" width="13.33203125" style="14" customWidth="1"/>
    <col min="18" max="18" width="12.83203125" style="16" customWidth="1"/>
    <col min="19" max="19" width="12.83203125" style="7" bestFit="1" customWidth="1"/>
    <col min="20" max="20" width="14.1640625" bestFit="1" customWidth="1"/>
    <col min="21" max="21" width="16.1640625" bestFit="1" customWidth="1"/>
    <col min="22" max="22" width="16.1640625" customWidth="1"/>
    <col min="23" max="23" width="15.33203125" bestFit="1" customWidth="1"/>
    <col min="24" max="24" width="16.6640625" bestFit="1" customWidth="1"/>
    <col min="25" max="25" width="14.6640625" style="11" customWidth="1"/>
  </cols>
  <sheetData>
    <row r="1" spans="1:25" x14ac:dyDescent="0.2">
      <c r="O1" t="s">
        <v>552</v>
      </c>
      <c r="P1" t="s">
        <v>552</v>
      </c>
      <c r="Q1" t="s">
        <v>552</v>
      </c>
      <c r="R1" s="7" t="s">
        <v>551</v>
      </c>
      <c r="S1" s="7" t="s">
        <v>551</v>
      </c>
      <c r="T1" t="s">
        <v>552</v>
      </c>
      <c r="U1" s="7" t="s">
        <v>551</v>
      </c>
    </row>
    <row r="2" spans="1:25" ht="17" customHeight="1" x14ac:dyDescent="0.2">
      <c r="A2" t="s">
        <v>253</v>
      </c>
      <c r="B2" t="s">
        <v>253</v>
      </c>
      <c r="C2" t="s">
        <v>253</v>
      </c>
      <c r="D2" t="s">
        <v>253</v>
      </c>
      <c r="E2" t="s">
        <v>253</v>
      </c>
      <c r="F2" t="s">
        <v>253</v>
      </c>
      <c r="G2" t="s">
        <v>253</v>
      </c>
      <c r="H2" t="s">
        <v>253</v>
      </c>
      <c r="I2" t="s">
        <v>253</v>
      </c>
      <c r="J2" t="s">
        <v>253</v>
      </c>
      <c r="K2" t="s">
        <v>253</v>
      </c>
      <c r="L2" t="s">
        <v>253</v>
      </c>
      <c r="M2" t="s">
        <v>253</v>
      </c>
      <c r="N2" t="s">
        <v>253</v>
      </c>
      <c r="O2" t="s">
        <v>253</v>
      </c>
      <c r="P2" t="s">
        <v>253</v>
      </c>
      <c r="Q2" t="s">
        <v>253</v>
      </c>
      <c r="R2" s="16" t="s">
        <v>288</v>
      </c>
      <c r="S2" s="16" t="s">
        <v>288</v>
      </c>
      <c r="T2" t="s">
        <v>253</v>
      </c>
      <c r="U2" t="s">
        <v>253</v>
      </c>
      <c r="V2" s="16" t="s">
        <v>288</v>
      </c>
      <c r="W2" s="16" t="s">
        <v>288</v>
      </c>
      <c r="X2" s="16" t="s">
        <v>288</v>
      </c>
      <c r="Y2" s="16" t="s">
        <v>288</v>
      </c>
    </row>
    <row r="3" spans="1:25" s="5" customFormat="1" ht="209" customHeight="1" x14ac:dyDescent="0.2">
      <c r="A3" s="4"/>
      <c r="B3" s="4" t="s">
        <v>147</v>
      </c>
      <c r="C3" s="4" t="s">
        <v>249</v>
      </c>
      <c r="D3" s="4" t="s">
        <v>397</v>
      </c>
      <c r="E3" s="4" t="s">
        <v>394</v>
      </c>
      <c r="F3" s="4" t="s">
        <v>493</v>
      </c>
      <c r="G3" s="4" t="s">
        <v>491</v>
      </c>
      <c r="H3" s="4" t="s">
        <v>32</v>
      </c>
      <c r="I3" s="4" t="s">
        <v>543</v>
      </c>
      <c r="J3" s="4" t="s">
        <v>545</v>
      </c>
      <c r="K3" s="4" t="s">
        <v>33</v>
      </c>
      <c r="L3" s="4" t="s">
        <v>33</v>
      </c>
      <c r="M3" s="4" t="s">
        <v>38</v>
      </c>
      <c r="N3" s="4" t="s">
        <v>34</v>
      </c>
      <c r="O3" s="9" t="s">
        <v>35</v>
      </c>
      <c r="P3" s="12" t="s">
        <v>553</v>
      </c>
      <c r="Q3" s="4" t="s">
        <v>36</v>
      </c>
      <c r="R3" s="17" t="s">
        <v>549</v>
      </c>
      <c r="S3" s="8" t="s">
        <v>550</v>
      </c>
      <c r="T3" s="4" t="s">
        <v>37</v>
      </c>
      <c r="U3" s="4" t="s">
        <v>146</v>
      </c>
      <c r="V3" s="4" t="s">
        <v>554</v>
      </c>
      <c r="W3" s="4" t="s">
        <v>255</v>
      </c>
      <c r="X3" s="4" t="s">
        <v>248</v>
      </c>
      <c r="Y3" s="19"/>
    </row>
    <row r="4" spans="1:25" ht="17" x14ac:dyDescent="0.2">
      <c r="A4" s="2" t="s">
        <v>0</v>
      </c>
      <c r="B4" s="3" t="s">
        <v>1</v>
      </c>
      <c r="C4" s="3" t="s">
        <v>2</v>
      </c>
      <c r="D4" s="3" t="s">
        <v>393</v>
      </c>
      <c r="E4" s="3" t="s">
        <v>392</v>
      </c>
      <c r="F4" s="3" t="s">
        <v>492</v>
      </c>
      <c r="G4" s="3" t="s">
        <v>395</v>
      </c>
      <c r="H4" s="3" t="s">
        <v>3</v>
      </c>
      <c r="I4" s="3" t="s">
        <v>494</v>
      </c>
      <c r="J4" s="3" t="s">
        <v>544</v>
      </c>
      <c r="K4" s="3" t="s">
        <v>298</v>
      </c>
      <c r="L4" s="3" t="s">
        <v>254</v>
      </c>
      <c r="M4" s="3" t="s">
        <v>4</v>
      </c>
      <c r="N4" s="3" t="s">
        <v>5</v>
      </c>
      <c r="O4" s="10" t="s">
        <v>6</v>
      </c>
      <c r="P4" s="13" t="s">
        <v>7</v>
      </c>
      <c r="Q4" s="3" t="s">
        <v>8</v>
      </c>
      <c r="R4" s="18" t="s">
        <v>250</v>
      </c>
      <c r="S4" s="6" t="s">
        <v>9</v>
      </c>
      <c r="T4" s="3" t="s">
        <v>10</v>
      </c>
      <c r="U4" s="3" t="s">
        <v>11</v>
      </c>
      <c r="V4" s="15" t="s">
        <v>252</v>
      </c>
      <c r="W4" s="15" t="s">
        <v>246</v>
      </c>
      <c r="X4" s="15" t="s">
        <v>247</v>
      </c>
      <c r="Y4" s="15" t="s">
        <v>251</v>
      </c>
    </row>
    <row r="5" spans="1:25" x14ac:dyDescent="0.2">
      <c r="A5" t="s">
        <v>12</v>
      </c>
      <c r="B5" t="s">
        <v>148</v>
      </c>
      <c r="C5" t="s">
        <v>18</v>
      </c>
      <c r="D5" t="s">
        <v>391</v>
      </c>
      <c r="E5" t="s">
        <v>546</v>
      </c>
      <c r="F5" t="s">
        <v>438</v>
      </c>
      <c r="G5" t="s">
        <v>439</v>
      </c>
      <c r="H5" t="s">
        <v>39</v>
      </c>
      <c r="I5" t="s">
        <v>498</v>
      </c>
      <c r="J5" t="s">
        <v>520</v>
      </c>
      <c r="K5" t="s">
        <v>40</v>
      </c>
      <c r="L5" t="s">
        <v>44</v>
      </c>
      <c r="M5" s="1">
        <v>45935</v>
      </c>
      <c r="N5" s="1">
        <v>45950</v>
      </c>
      <c r="O5" s="11">
        <v>54282</v>
      </c>
      <c r="P5" s="14">
        <f ca="1">IF(Q5="Paid", ROUND(O5*RANDBETWEEN(60,100)/100,0),
 IF(Q5="Pending", ROUND(O5*RANDBETWEEN(0,60)/100,0),
 0))</f>
        <v>34740</v>
      </c>
      <c r="Q5" t="s">
        <v>15</v>
      </c>
      <c r="R5" s="16">
        <f ca="1">IF(P5=0,"",P5/O5)</f>
        <v>0.63999115728970934</v>
      </c>
      <c r="S5" s="7">
        <f ca="1">TODAY()-N5</f>
        <v>107</v>
      </c>
      <c r="T5" t="s">
        <v>16</v>
      </c>
      <c r="U5" s="1">
        <f ca="1">N5+RANDBETWEEN(0,MAX(0,TODAY()-N5))</f>
        <v>45969</v>
      </c>
      <c r="V5" s="1" t="str">
        <f ca="1">IF(OR(Q5="Paid",Q5="Denied",W5="Time-Barred"),
    "No Follow-Up Needed",
 IF(TODAY()-U5&gt;14,
    "Overdue",
 IF(TODAY()-U5&gt;10,
    "Due Soon",
    "On Track")))</f>
        <v>No Follow-Up Needed</v>
      </c>
      <c r="W5" t="str">
        <f>IF(
  AND(OR(C5="HUBG",C5="XPO",C5="RXO",C5="FEDEX"), _xlfn.DAYS(N5,M5)&gt;60),
  "Time-Barred",
  IF(
    AND(OR(C5="JBHUNT",C5="BNSF",C5="Pulse"), _xlfn.DAYS(M5,N5)&gt;120),
    "Time-Barred",
    ""
  )
)</f>
        <v/>
      </c>
      <c r="X5" t="e" cm="1">
        <f t="array" aca="1" ref="X5" ca="1" xml:space="preserve">
 _xlfn.IFS(S5&lt;=30,"0–30",
 S5&lt;=60,"31–60",
 S5&lt;=120,"61–120",
 TRUE,"120+"
)</f>
        <v>#NAME?</v>
      </c>
      <c r="Y5" s="11">
        <v>0</v>
      </c>
    </row>
    <row r="6" spans="1:25" x14ac:dyDescent="0.2">
      <c r="A6" t="s">
        <v>17</v>
      </c>
      <c r="B6" t="s">
        <v>21</v>
      </c>
      <c r="C6" t="s">
        <v>13</v>
      </c>
      <c r="D6" t="s">
        <v>390</v>
      </c>
      <c r="E6" t="s">
        <v>547</v>
      </c>
      <c r="F6" t="s">
        <v>427</v>
      </c>
      <c r="G6" t="s">
        <v>428</v>
      </c>
      <c r="H6" t="s">
        <v>41</v>
      </c>
      <c r="I6" t="s">
        <v>509</v>
      </c>
      <c r="J6" t="s">
        <v>533</v>
      </c>
      <c r="K6" t="s">
        <v>42</v>
      </c>
      <c r="L6" t="s">
        <v>52</v>
      </c>
      <c r="M6" s="1">
        <v>45797</v>
      </c>
      <c r="N6" s="1">
        <v>45945</v>
      </c>
      <c r="O6" s="11">
        <v>176772</v>
      </c>
      <c r="P6" s="14">
        <f t="shared" ref="P6:P69" ca="1" si="0">IF(Q6="Paid", ROUND(O6*RANDBETWEEN(60,100)/100,0),
 IF(Q6="Pending", ROUND(O6*RANDBETWEEN(0,60)/100,0),
 0))</f>
        <v>0</v>
      </c>
      <c r="Q6" t="s">
        <v>19</v>
      </c>
      <c r="R6" s="16" t="str">
        <f t="shared" ref="R6:R69" ca="1" si="1">IF(P6=0,"",P6/O6)</f>
        <v/>
      </c>
      <c r="S6" s="7">
        <f t="shared" ref="S6:S69" ca="1" si="2">TODAY()-N6</f>
        <v>112</v>
      </c>
      <c r="T6" t="s">
        <v>16</v>
      </c>
      <c r="U6" s="1">
        <f t="shared" ref="U6:U69" ca="1" si="3">N6+RANDBETWEEN(0,MAX(0,TODAY()-N6))</f>
        <v>46056</v>
      </c>
      <c r="V6" s="1" t="str">
        <f t="shared" ref="V6:V69" ca="1" si="4">IF(OR(Q6="Paid",Q6="Denied",W6="Time-Barred"),
    "No Follow-Up Needed",
 IF(TODAY()-U6&gt;14,
    "Overdue",
 IF(TODAY()-U6&gt;10,
    "Due Soon",
    "On Track")))</f>
        <v>No Follow-Up Needed</v>
      </c>
      <c r="W6" t="str">
        <f t="shared" ref="W6:W69" si="5">IF(
  AND(OR(C6="HUBG",C6="XPO",C6="RXO",C6="FEDEX"), _xlfn.DAYS(N6,M6)&gt;60),
  "Time-Barred",
  IF(
    AND(OR(C6="JBHUNT",C6="BNSF",C6="Pulse"), _xlfn.DAYS(M6,N6)&gt;120),
    "Time-Barred",
    ""
  )
)</f>
        <v>Time-Barred</v>
      </c>
      <c r="X6" t="e" cm="1">
        <f t="array" aca="1" ref="X6" ca="1" xml:space="preserve">
 _xlfn.IFS(S6&lt;=30,"0–30",
 S6&lt;=60,"31–60",
 S6&lt;=120,"61–120",
 TRUE,"120+"
)</f>
        <v>#NAME?</v>
      </c>
      <c r="Y6" s="11">
        <v>176772</v>
      </c>
    </row>
    <row r="7" spans="1:25" x14ac:dyDescent="0.2">
      <c r="A7" t="s">
        <v>20</v>
      </c>
      <c r="B7" t="s">
        <v>149</v>
      </c>
      <c r="C7" t="s">
        <v>18</v>
      </c>
      <c r="D7" t="s">
        <v>389</v>
      </c>
      <c r="E7" t="s">
        <v>546</v>
      </c>
      <c r="F7" t="s">
        <v>438</v>
      </c>
      <c r="G7" t="s">
        <v>439</v>
      </c>
      <c r="H7" t="s">
        <v>43</v>
      </c>
      <c r="I7" t="s">
        <v>500</v>
      </c>
      <c r="J7" t="s">
        <v>522</v>
      </c>
      <c r="K7" t="s">
        <v>44</v>
      </c>
      <c r="L7" t="s">
        <v>64</v>
      </c>
      <c r="M7" s="1">
        <v>45880</v>
      </c>
      <c r="N7" s="1">
        <v>45883</v>
      </c>
      <c r="O7" s="11">
        <v>155821</v>
      </c>
      <c r="P7" s="14">
        <f t="shared" ca="1" si="0"/>
        <v>51421</v>
      </c>
      <c r="Q7" t="s">
        <v>23</v>
      </c>
      <c r="R7" s="16">
        <f t="shared" ca="1" si="1"/>
        <v>0.33000044923341526</v>
      </c>
      <c r="S7" s="7">
        <f t="shared" ca="1" si="2"/>
        <v>174</v>
      </c>
      <c r="T7" t="s">
        <v>16</v>
      </c>
      <c r="U7" s="1">
        <f t="shared" ca="1" si="3"/>
        <v>45967</v>
      </c>
      <c r="V7" s="1" t="str">
        <f t="shared" ca="1" si="4"/>
        <v>Overdue</v>
      </c>
      <c r="W7" t="str">
        <f t="shared" si="5"/>
        <v/>
      </c>
      <c r="X7" t="e" cm="1">
        <f t="array" aca="1" ref="X7" ca="1" xml:space="preserve">
 _xlfn.IFS(S7&lt;=30,"0–30",
 S7&lt;=60,"31–60",
 S7&lt;=120,"61–120",
 TRUE,"120+"
)</f>
        <v>#NAME?</v>
      </c>
      <c r="Y7" s="11">
        <v>0</v>
      </c>
    </row>
    <row r="8" spans="1:25" x14ac:dyDescent="0.2">
      <c r="A8" t="s">
        <v>25</v>
      </c>
      <c r="B8" t="s">
        <v>150</v>
      </c>
      <c r="C8" t="s">
        <v>22</v>
      </c>
      <c r="D8" t="s">
        <v>388</v>
      </c>
      <c r="E8" t="s">
        <v>546</v>
      </c>
      <c r="F8" t="s">
        <v>449</v>
      </c>
      <c r="G8" t="s">
        <v>450</v>
      </c>
      <c r="H8" t="s">
        <v>45</v>
      </c>
      <c r="I8" t="s">
        <v>512</v>
      </c>
      <c r="J8" t="s">
        <v>524</v>
      </c>
      <c r="K8" t="s">
        <v>44</v>
      </c>
      <c r="L8" t="s">
        <v>55</v>
      </c>
      <c r="M8" s="1">
        <v>45676</v>
      </c>
      <c r="N8" s="1">
        <v>45695</v>
      </c>
      <c r="O8" s="11">
        <v>68411</v>
      </c>
      <c r="P8" s="14">
        <f t="shared" ca="1" si="0"/>
        <v>64306</v>
      </c>
      <c r="Q8" t="s">
        <v>15</v>
      </c>
      <c r="R8" s="16">
        <f t="shared" ca="1" si="1"/>
        <v>0.93999503003902884</v>
      </c>
      <c r="S8" s="7">
        <f t="shared" ca="1" si="2"/>
        <v>362</v>
      </c>
      <c r="T8" t="s">
        <v>16</v>
      </c>
      <c r="U8" s="1">
        <f t="shared" ca="1" si="3"/>
        <v>45838</v>
      </c>
      <c r="V8" s="1" t="str">
        <f t="shared" ca="1" si="4"/>
        <v>No Follow-Up Needed</v>
      </c>
      <c r="W8" t="str">
        <f t="shared" si="5"/>
        <v/>
      </c>
      <c r="X8" t="e" cm="1">
        <f t="array" aca="1" ref="X8" ca="1" xml:space="preserve">
 _xlfn.IFS(S8&lt;=30,"0–30",
 S8&lt;=60,"31–60",
 S8&lt;=120,"61–120",
 TRUE,"120+"
)</f>
        <v>#NAME?</v>
      </c>
      <c r="Y8" s="11">
        <v>0</v>
      </c>
    </row>
    <row r="9" spans="1:25" x14ac:dyDescent="0.2">
      <c r="A9" t="s">
        <v>26</v>
      </c>
      <c r="B9" t="s">
        <v>151</v>
      </c>
      <c r="C9" t="s">
        <v>29</v>
      </c>
      <c r="D9" t="s">
        <v>387</v>
      </c>
      <c r="E9" t="s">
        <v>548</v>
      </c>
      <c r="F9" t="s">
        <v>415</v>
      </c>
      <c r="G9" t="s">
        <v>416</v>
      </c>
      <c r="H9" t="s">
        <v>14</v>
      </c>
      <c r="I9" t="s">
        <v>503</v>
      </c>
      <c r="J9" t="s">
        <v>527</v>
      </c>
      <c r="K9" t="s">
        <v>40</v>
      </c>
      <c r="L9" t="s">
        <v>47</v>
      </c>
      <c r="M9" s="1">
        <v>45920</v>
      </c>
      <c r="N9" s="1">
        <v>46022</v>
      </c>
      <c r="O9" s="11">
        <v>132837</v>
      </c>
      <c r="P9" s="14">
        <f t="shared" ca="1" si="0"/>
        <v>0</v>
      </c>
      <c r="Q9" t="s">
        <v>27</v>
      </c>
      <c r="R9" s="16" t="str">
        <f t="shared" ca="1" si="1"/>
        <v/>
      </c>
      <c r="S9" s="7">
        <f t="shared" ca="1" si="2"/>
        <v>35</v>
      </c>
      <c r="T9" t="s">
        <v>16</v>
      </c>
      <c r="U9" s="1">
        <f t="shared" ca="1" si="3"/>
        <v>46056</v>
      </c>
      <c r="V9" s="1" t="str">
        <f t="shared" ca="1" si="4"/>
        <v>No Follow-Up Needed</v>
      </c>
      <c r="W9" t="str">
        <f t="shared" si="5"/>
        <v>Time-Barred</v>
      </c>
      <c r="X9" t="e" cm="1">
        <f t="array" aca="1" ref="X9" ca="1" xml:space="preserve">
 _xlfn.IFS(S9&lt;=30,"0–30",
 S9&lt;=60,"31–60",
 S9&lt;=120,"61–120",
 TRUE,"120+"
)</f>
        <v>#NAME?</v>
      </c>
      <c r="Y9" s="11">
        <v>132837</v>
      </c>
    </row>
    <row r="10" spans="1:25" x14ac:dyDescent="0.2">
      <c r="A10" t="s">
        <v>46</v>
      </c>
      <c r="B10" t="s">
        <v>152</v>
      </c>
      <c r="C10" t="s">
        <v>18</v>
      </c>
      <c r="D10" t="s">
        <v>386</v>
      </c>
      <c r="E10" t="s">
        <v>546</v>
      </c>
      <c r="F10" t="s">
        <v>438</v>
      </c>
      <c r="G10" t="s">
        <v>439</v>
      </c>
      <c r="H10" t="s">
        <v>14</v>
      </c>
      <c r="I10" t="s">
        <v>512</v>
      </c>
      <c r="J10" t="s">
        <v>524</v>
      </c>
      <c r="K10" t="s">
        <v>47</v>
      </c>
      <c r="L10" t="s">
        <v>42</v>
      </c>
      <c r="M10" s="1">
        <v>45687</v>
      </c>
      <c r="N10" s="1">
        <v>45709</v>
      </c>
      <c r="O10" s="11">
        <v>134300</v>
      </c>
      <c r="P10" s="14">
        <f t="shared" ca="1" si="0"/>
        <v>99382</v>
      </c>
      <c r="Q10" t="s">
        <v>15</v>
      </c>
      <c r="R10" s="16">
        <f t="shared" ca="1" si="1"/>
        <v>0.74</v>
      </c>
      <c r="S10" s="7">
        <f t="shared" ca="1" si="2"/>
        <v>348</v>
      </c>
      <c r="T10" t="s">
        <v>16</v>
      </c>
      <c r="U10" s="1">
        <f t="shared" ca="1" si="3"/>
        <v>46036</v>
      </c>
      <c r="V10" s="1" t="str">
        <f t="shared" ca="1" si="4"/>
        <v>No Follow-Up Needed</v>
      </c>
      <c r="W10" t="str">
        <f t="shared" si="5"/>
        <v/>
      </c>
      <c r="X10" t="e" cm="1">
        <f t="array" aca="1" ref="X10" ca="1" xml:space="preserve">
 _xlfn.IFS(S10&lt;=30,"0–30",
 S10&lt;=60,"31–60",
 S10&lt;=120,"61–120",
 TRUE,"120+"
)</f>
        <v>#NAME?</v>
      </c>
      <c r="Y10" s="11">
        <v>36261</v>
      </c>
    </row>
    <row r="11" spans="1:25" x14ac:dyDescent="0.2">
      <c r="A11" t="s">
        <v>48</v>
      </c>
      <c r="B11" t="s">
        <v>153</v>
      </c>
      <c r="C11" t="s">
        <v>31</v>
      </c>
      <c r="D11" t="s">
        <v>385</v>
      </c>
      <c r="E11" t="s">
        <v>546</v>
      </c>
      <c r="F11" t="s">
        <v>470</v>
      </c>
      <c r="G11" t="s">
        <v>31</v>
      </c>
      <c r="H11" t="s">
        <v>39</v>
      </c>
      <c r="I11" t="s">
        <v>513</v>
      </c>
      <c r="J11" t="s">
        <v>536</v>
      </c>
      <c r="K11" t="s">
        <v>40</v>
      </c>
      <c r="L11" t="s">
        <v>42</v>
      </c>
      <c r="M11" s="1">
        <v>45822</v>
      </c>
      <c r="N11" s="1">
        <v>46004</v>
      </c>
      <c r="O11" s="11">
        <v>182313</v>
      </c>
      <c r="P11" s="14">
        <f t="shared" ca="1" si="0"/>
        <v>5469</v>
      </c>
      <c r="Q11" t="s">
        <v>23</v>
      </c>
      <c r="R11" s="16">
        <f t="shared" ca="1" si="1"/>
        <v>2.9997860821773543E-2</v>
      </c>
      <c r="S11" s="7">
        <f t="shared" ca="1" si="2"/>
        <v>53</v>
      </c>
      <c r="T11" t="s">
        <v>16</v>
      </c>
      <c r="U11" s="1">
        <f t="shared" ca="1" si="3"/>
        <v>46057</v>
      </c>
      <c r="V11" s="1" t="str">
        <f t="shared" ca="1" si="4"/>
        <v>On Track</v>
      </c>
      <c r="W11" t="str">
        <f t="shared" si="5"/>
        <v/>
      </c>
      <c r="X11" t="e" cm="1">
        <f t="array" aca="1" ref="X11" ca="1" xml:space="preserve">
 _xlfn.IFS(S11&lt;=30,"0–30",
 S11&lt;=60,"31–60",
 S11&lt;=120,"61–120",
 TRUE,"120+"
)</f>
        <v>#NAME?</v>
      </c>
      <c r="Y11" s="11">
        <v>134912</v>
      </c>
    </row>
    <row r="12" spans="1:25" x14ac:dyDescent="0.2">
      <c r="A12" t="s">
        <v>49</v>
      </c>
      <c r="B12" t="s">
        <v>154</v>
      </c>
      <c r="C12" t="s">
        <v>29</v>
      </c>
      <c r="D12" t="s">
        <v>384</v>
      </c>
      <c r="E12" t="s">
        <v>548</v>
      </c>
      <c r="F12" t="s">
        <v>415</v>
      </c>
      <c r="G12" t="s">
        <v>416</v>
      </c>
      <c r="H12" t="s">
        <v>41</v>
      </c>
      <c r="I12" t="s">
        <v>511</v>
      </c>
      <c r="J12" t="s">
        <v>535</v>
      </c>
      <c r="K12" t="s">
        <v>40</v>
      </c>
      <c r="L12" t="s">
        <v>52</v>
      </c>
      <c r="M12" s="1">
        <v>45734</v>
      </c>
      <c r="N12" s="1">
        <v>45761</v>
      </c>
      <c r="O12" s="11">
        <v>89480</v>
      </c>
      <c r="P12" s="14">
        <f t="shared" ca="1" si="0"/>
        <v>0</v>
      </c>
      <c r="Q12" t="s">
        <v>27</v>
      </c>
      <c r="R12" s="16" t="str">
        <f t="shared" ca="1" si="1"/>
        <v/>
      </c>
      <c r="S12" s="7">
        <f t="shared" ca="1" si="2"/>
        <v>296</v>
      </c>
      <c r="T12" t="s">
        <v>16</v>
      </c>
      <c r="U12" s="1">
        <f t="shared" ca="1" si="3"/>
        <v>45767</v>
      </c>
      <c r="V12" s="1" t="str">
        <f t="shared" ca="1" si="4"/>
        <v>Overdue</v>
      </c>
      <c r="W12" t="str">
        <f t="shared" si="5"/>
        <v/>
      </c>
      <c r="X12" t="e" cm="1">
        <f t="array" aca="1" ref="X12" ca="1" xml:space="preserve">
 _xlfn.IFS(S12&lt;=30,"0–30",
 S12&lt;=60,"31–60",
 S12&lt;=120,"61–120",
 TRUE,"120+"
)</f>
        <v>#NAME?</v>
      </c>
      <c r="Y12" s="11">
        <v>0</v>
      </c>
    </row>
    <row r="13" spans="1:25" x14ac:dyDescent="0.2">
      <c r="A13" t="s">
        <v>50</v>
      </c>
      <c r="B13" t="s">
        <v>155</v>
      </c>
      <c r="C13" t="s">
        <v>13</v>
      </c>
      <c r="D13" t="s">
        <v>383</v>
      </c>
      <c r="E13" t="s">
        <v>547</v>
      </c>
      <c r="F13" t="s">
        <v>427</v>
      </c>
      <c r="G13" t="s">
        <v>428</v>
      </c>
      <c r="H13" t="s">
        <v>39</v>
      </c>
      <c r="I13" t="s">
        <v>514</v>
      </c>
      <c r="J13" t="s">
        <v>537</v>
      </c>
      <c r="K13" t="s">
        <v>40</v>
      </c>
      <c r="L13" t="s">
        <v>55</v>
      </c>
      <c r="M13" s="1">
        <v>45716</v>
      </c>
      <c r="N13" s="1">
        <v>45727</v>
      </c>
      <c r="O13" s="11">
        <v>96100</v>
      </c>
      <c r="P13" s="14">
        <f t="shared" ca="1" si="0"/>
        <v>40362</v>
      </c>
      <c r="Q13" t="s">
        <v>23</v>
      </c>
      <c r="R13" s="16">
        <f t="shared" ca="1" si="1"/>
        <v>0.42</v>
      </c>
      <c r="S13" s="7">
        <f t="shared" ca="1" si="2"/>
        <v>330</v>
      </c>
      <c r="T13" t="s">
        <v>16</v>
      </c>
      <c r="U13" s="1">
        <f t="shared" ca="1" si="3"/>
        <v>45747</v>
      </c>
      <c r="V13" s="1" t="str">
        <f t="shared" ca="1" si="4"/>
        <v>Overdue</v>
      </c>
      <c r="W13" t="str">
        <f t="shared" si="5"/>
        <v/>
      </c>
      <c r="X13" t="e" cm="1">
        <f t="array" aca="1" ref="X13" ca="1" xml:space="preserve">
 _xlfn.IFS(S13&lt;=30,"0–30",
 S13&lt;=60,"31–60",
 S13&lt;=120,"61–120",
 TRUE,"120+"
)</f>
        <v>#NAME?</v>
      </c>
      <c r="Y13" s="11">
        <v>0</v>
      </c>
    </row>
    <row r="14" spans="1:25" x14ac:dyDescent="0.2">
      <c r="A14" t="s">
        <v>51</v>
      </c>
      <c r="B14" t="s">
        <v>156</v>
      </c>
      <c r="C14" t="s">
        <v>18</v>
      </c>
      <c r="D14" t="s">
        <v>382</v>
      </c>
      <c r="E14" t="s">
        <v>546</v>
      </c>
      <c r="F14" t="s">
        <v>438</v>
      </c>
      <c r="G14" t="s">
        <v>439</v>
      </c>
      <c r="H14" t="s">
        <v>41</v>
      </c>
      <c r="I14" t="s">
        <v>507</v>
      </c>
      <c r="J14" t="s">
        <v>531</v>
      </c>
      <c r="K14" t="s">
        <v>52</v>
      </c>
      <c r="L14" t="s">
        <v>52</v>
      </c>
      <c r="M14" s="1">
        <v>45945</v>
      </c>
      <c r="N14" s="1">
        <v>45957</v>
      </c>
      <c r="O14" s="11">
        <v>46363</v>
      </c>
      <c r="P14" s="14">
        <f t="shared" ca="1" si="0"/>
        <v>9736</v>
      </c>
      <c r="Q14" t="s">
        <v>23</v>
      </c>
      <c r="R14" s="16">
        <f t="shared" ca="1" si="1"/>
        <v>0.20999503914759615</v>
      </c>
      <c r="S14" s="7">
        <f t="shared" ca="1" si="2"/>
        <v>100</v>
      </c>
      <c r="T14" t="s">
        <v>24</v>
      </c>
      <c r="U14" s="1">
        <f t="shared" ca="1" si="3"/>
        <v>46004</v>
      </c>
      <c r="V14" s="1" t="str">
        <f t="shared" ca="1" si="4"/>
        <v>Overdue</v>
      </c>
      <c r="W14" t="str">
        <f t="shared" si="5"/>
        <v/>
      </c>
      <c r="X14" t="e" cm="1">
        <f t="array" aca="1" ref="X14" ca="1" xml:space="preserve">
 _xlfn.IFS(S14&lt;=30,"0–30",
 S14&lt;=60,"31–60",
 S14&lt;=120,"61–120",
 TRUE,"120+"
)</f>
        <v>#NAME?</v>
      </c>
      <c r="Y14" s="11">
        <v>0</v>
      </c>
    </row>
    <row r="15" spans="1:25" x14ac:dyDescent="0.2">
      <c r="A15" t="s">
        <v>53</v>
      </c>
      <c r="B15" t="s">
        <v>157</v>
      </c>
      <c r="C15" t="s">
        <v>13</v>
      </c>
      <c r="D15" t="s">
        <v>381</v>
      </c>
      <c r="E15" t="s">
        <v>547</v>
      </c>
      <c r="F15" t="s">
        <v>427</v>
      </c>
      <c r="G15" t="s">
        <v>428</v>
      </c>
      <c r="H15" t="s">
        <v>41</v>
      </c>
      <c r="I15" t="s">
        <v>497</v>
      </c>
      <c r="J15" t="s">
        <v>519</v>
      </c>
      <c r="K15" t="s">
        <v>52</v>
      </c>
      <c r="L15" t="s">
        <v>80</v>
      </c>
      <c r="M15" s="1">
        <v>45885</v>
      </c>
      <c r="N15" s="1">
        <v>45898</v>
      </c>
      <c r="O15" s="11">
        <v>138762</v>
      </c>
      <c r="P15" s="14">
        <f t="shared" ca="1" si="0"/>
        <v>104072</v>
      </c>
      <c r="Q15" t="s">
        <v>15</v>
      </c>
      <c r="R15" s="16">
        <f t="shared" ca="1" si="1"/>
        <v>0.75000360329196758</v>
      </c>
      <c r="S15" s="7">
        <f t="shared" ca="1" si="2"/>
        <v>159</v>
      </c>
      <c r="T15" t="s">
        <v>16</v>
      </c>
      <c r="U15" s="1">
        <f t="shared" ca="1" si="3"/>
        <v>45955</v>
      </c>
      <c r="V15" s="1" t="str">
        <f t="shared" ca="1" si="4"/>
        <v>No Follow-Up Needed</v>
      </c>
      <c r="W15" t="str">
        <f t="shared" si="5"/>
        <v/>
      </c>
      <c r="X15" t="e" cm="1">
        <f t="array" aca="1" ref="X15" ca="1" xml:space="preserve">
 _xlfn.IFS(S15&lt;=30,"0–30",
 S15&lt;=60,"31–60",
 S15&lt;=120,"61–120",
 TRUE,"120+"
)</f>
        <v>#NAME?</v>
      </c>
      <c r="Y15" s="11">
        <v>0</v>
      </c>
    </row>
    <row r="16" spans="1:25" x14ac:dyDescent="0.2">
      <c r="A16" t="s">
        <v>54</v>
      </c>
      <c r="B16" t="s">
        <v>158</v>
      </c>
      <c r="C16" t="s">
        <v>29</v>
      </c>
      <c r="D16" t="s">
        <v>380</v>
      </c>
      <c r="E16" t="s">
        <v>548</v>
      </c>
      <c r="F16" t="s">
        <v>415</v>
      </c>
      <c r="G16" t="s">
        <v>416</v>
      </c>
      <c r="H16" t="s">
        <v>14</v>
      </c>
      <c r="I16" t="s">
        <v>509</v>
      </c>
      <c r="J16" t="s">
        <v>533</v>
      </c>
      <c r="K16" t="s">
        <v>55</v>
      </c>
      <c r="L16" t="s">
        <v>52</v>
      </c>
      <c r="M16" s="1">
        <v>45890</v>
      </c>
      <c r="N16" s="1">
        <v>45905</v>
      </c>
      <c r="O16" s="11">
        <v>38742</v>
      </c>
      <c r="P16" s="14">
        <f t="shared" ca="1" si="0"/>
        <v>20533</v>
      </c>
      <c r="Q16" t="s">
        <v>23</v>
      </c>
      <c r="R16" s="16">
        <f t="shared" ca="1" si="1"/>
        <v>0.52999328893707087</v>
      </c>
      <c r="S16" s="7">
        <f t="shared" ca="1" si="2"/>
        <v>152</v>
      </c>
      <c r="T16" t="s">
        <v>16</v>
      </c>
      <c r="U16" s="1">
        <f t="shared" ca="1" si="3"/>
        <v>45953</v>
      </c>
      <c r="V16" s="1" t="str">
        <f t="shared" ca="1" si="4"/>
        <v>Overdue</v>
      </c>
      <c r="W16" t="str">
        <f t="shared" si="5"/>
        <v/>
      </c>
      <c r="X16" t="e" cm="1">
        <f t="array" aca="1" ref="X16" ca="1" xml:space="preserve">
 _xlfn.IFS(S16&lt;=30,"0–30",
 S16&lt;=60,"31–60",
 S16&lt;=120,"61–120",
 TRUE,"120+"
)</f>
        <v>#NAME?</v>
      </c>
      <c r="Y16" s="11">
        <v>0</v>
      </c>
    </row>
    <row r="17" spans="1:25" x14ac:dyDescent="0.2">
      <c r="A17" t="s">
        <v>56</v>
      </c>
      <c r="B17" t="s">
        <v>159</v>
      </c>
      <c r="C17" t="s">
        <v>396</v>
      </c>
      <c r="D17" t="s">
        <v>379</v>
      </c>
      <c r="E17" t="s">
        <v>256</v>
      </c>
      <c r="F17" t="s">
        <v>480</v>
      </c>
      <c r="G17" t="s">
        <v>481</v>
      </c>
      <c r="H17" t="s">
        <v>43</v>
      </c>
      <c r="I17" t="s">
        <v>511</v>
      </c>
      <c r="J17" t="s">
        <v>535</v>
      </c>
      <c r="K17" t="s">
        <v>52</v>
      </c>
      <c r="L17" t="s">
        <v>44</v>
      </c>
      <c r="M17" s="1">
        <v>45685</v>
      </c>
      <c r="N17" s="1">
        <v>45698</v>
      </c>
      <c r="O17" s="11">
        <v>3876</v>
      </c>
      <c r="P17" s="14">
        <f t="shared" ca="1" si="0"/>
        <v>0</v>
      </c>
      <c r="Q17" t="s">
        <v>19</v>
      </c>
      <c r="R17" s="16" t="str">
        <f t="shared" ca="1" si="1"/>
        <v/>
      </c>
      <c r="S17" s="7">
        <f t="shared" ca="1" si="2"/>
        <v>359</v>
      </c>
      <c r="T17" t="s">
        <v>16</v>
      </c>
      <c r="U17" s="1">
        <f t="shared" ca="1" si="3"/>
        <v>46037</v>
      </c>
      <c r="V17" s="1" t="str">
        <f t="shared" ca="1" si="4"/>
        <v>No Follow-Up Needed</v>
      </c>
      <c r="W17" t="str">
        <f t="shared" si="5"/>
        <v/>
      </c>
      <c r="X17" t="e" cm="1">
        <f t="array" aca="1" ref="X17" ca="1" xml:space="preserve">
 _xlfn.IFS(S17&lt;=30,"0–30",
 S17&lt;=60,"31–60",
 S17&lt;=120,"61–120",
 TRUE,"120+"
)</f>
        <v>#NAME?</v>
      </c>
      <c r="Y17" s="11">
        <v>0</v>
      </c>
    </row>
    <row r="18" spans="1:25" x14ac:dyDescent="0.2">
      <c r="A18" t="s">
        <v>57</v>
      </c>
      <c r="B18" t="s">
        <v>160</v>
      </c>
      <c r="C18" t="s">
        <v>396</v>
      </c>
      <c r="D18" t="s">
        <v>378</v>
      </c>
      <c r="E18" t="s">
        <v>256</v>
      </c>
      <c r="F18" t="s">
        <v>480</v>
      </c>
      <c r="G18" t="s">
        <v>481</v>
      </c>
      <c r="H18" t="s">
        <v>39</v>
      </c>
      <c r="I18" t="s">
        <v>505</v>
      </c>
      <c r="J18" t="s">
        <v>529</v>
      </c>
      <c r="K18" t="s">
        <v>42</v>
      </c>
      <c r="L18" t="s">
        <v>55</v>
      </c>
      <c r="M18" s="1">
        <v>46024</v>
      </c>
      <c r="N18" s="1">
        <v>45733</v>
      </c>
      <c r="O18" s="11">
        <v>142769</v>
      </c>
      <c r="P18" s="14">
        <f t="shared" ca="1" si="0"/>
        <v>24271</v>
      </c>
      <c r="Q18" t="s">
        <v>23</v>
      </c>
      <c r="R18" s="16">
        <f t="shared" ca="1" si="1"/>
        <v>0.17000189116684994</v>
      </c>
      <c r="S18" s="7">
        <f t="shared" ca="1" si="2"/>
        <v>324</v>
      </c>
      <c r="T18" t="s">
        <v>16</v>
      </c>
      <c r="U18" s="1">
        <f t="shared" ca="1" si="3"/>
        <v>45930</v>
      </c>
      <c r="V18" s="1" t="str">
        <f t="shared" ca="1" si="4"/>
        <v>No Follow-Up Needed</v>
      </c>
      <c r="W18" t="str">
        <f t="shared" si="5"/>
        <v>Time-Barred</v>
      </c>
      <c r="X18" t="e" cm="1">
        <f t="array" aca="1" ref="X18" ca="1" xml:space="preserve">
 _xlfn.IFS(S18&lt;=30,"0–30",
 S18&lt;=60,"31–60",
 S18&lt;=120,"61–120",
 TRUE,"120+"
)</f>
        <v>#NAME?</v>
      </c>
      <c r="Y18" s="11">
        <v>0</v>
      </c>
    </row>
    <row r="19" spans="1:25" x14ac:dyDescent="0.2">
      <c r="A19" t="s">
        <v>58</v>
      </c>
      <c r="B19" t="s">
        <v>161</v>
      </c>
      <c r="C19" t="s">
        <v>18</v>
      </c>
      <c r="D19" t="s">
        <v>377</v>
      </c>
      <c r="E19" t="s">
        <v>546</v>
      </c>
      <c r="F19" t="s">
        <v>438</v>
      </c>
      <c r="G19" t="s">
        <v>439</v>
      </c>
      <c r="H19" t="s">
        <v>43</v>
      </c>
      <c r="I19" t="s">
        <v>500</v>
      </c>
      <c r="J19" t="s">
        <v>522</v>
      </c>
      <c r="K19" t="s">
        <v>47</v>
      </c>
      <c r="L19" t="s">
        <v>52</v>
      </c>
      <c r="M19" s="1">
        <v>45854</v>
      </c>
      <c r="N19" s="1">
        <v>45864</v>
      </c>
      <c r="O19" s="11">
        <v>41606</v>
      </c>
      <c r="P19" s="14">
        <f t="shared" ca="1" si="0"/>
        <v>38694</v>
      </c>
      <c r="Q19" t="s">
        <v>15</v>
      </c>
      <c r="R19" s="16">
        <f t="shared" ca="1" si="1"/>
        <v>0.9300100946978801</v>
      </c>
      <c r="S19" s="7">
        <f t="shared" ca="1" si="2"/>
        <v>193</v>
      </c>
      <c r="T19" t="s">
        <v>24</v>
      </c>
      <c r="U19" s="1">
        <f t="shared" ca="1" si="3"/>
        <v>46041</v>
      </c>
      <c r="V19" s="1" t="str">
        <f t="shared" ca="1" si="4"/>
        <v>No Follow-Up Needed</v>
      </c>
      <c r="W19" t="str">
        <f t="shared" si="5"/>
        <v/>
      </c>
      <c r="X19" t="e" cm="1">
        <f t="array" aca="1" ref="X19" ca="1" xml:space="preserve">
 _xlfn.IFS(S19&lt;=30,"0–30",
 S19&lt;=60,"31–60",
 S19&lt;=120,"61–120",
 TRUE,"120+"
)</f>
        <v>#NAME?</v>
      </c>
      <c r="Y19" s="11">
        <v>0</v>
      </c>
    </row>
    <row r="20" spans="1:25" x14ac:dyDescent="0.2">
      <c r="A20" t="s">
        <v>59</v>
      </c>
      <c r="B20" t="s">
        <v>162</v>
      </c>
      <c r="C20" t="s">
        <v>28</v>
      </c>
      <c r="D20" t="s">
        <v>59</v>
      </c>
      <c r="E20" t="s">
        <v>546</v>
      </c>
      <c r="F20" t="s">
        <v>459</v>
      </c>
      <c r="G20" t="s">
        <v>460</v>
      </c>
      <c r="H20" t="s">
        <v>60</v>
      </c>
      <c r="I20" t="s">
        <v>542</v>
      </c>
      <c r="J20" t="s">
        <v>525</v>
      </c>
      <c r="K20" t="s">
        <v>47</v>
      </c>
      <c r="L20" t="s">
        <v>64</v>
      </c>
      <c r="M20" s="1">
        <v>45980</v>
      </c>
      <c r="N20" s="1">
        <v>45995</v>
      </c>
      <c r="O20" s="11">
        <v>100102</v>
      </c>
      <c r="P20" s="14">
        <f t="shared" ca="1" si="0"/>
        <v>47048</v>
      </c>
      <c r="Q20" t="s">
        <v>23</v>
      </c>
      <c r="R20" s="16">
        <f t="shared" ca="1" si="1"/>
        <v>0.4700005993886236</v>
      </c>
      <c r="S20" s="7">
        <f t="shared" ca="1" si="2"/>
        <v>62</v>
      </c>
      <c r="T20" t="s">
        <v>24</v>
      </c>
      <c r="U20" s="1">
        <f t="shared" ca="1" si="3"/>
        <v>46047</v>
      </c>
      <c r="V20" s="1" t="str">
        <f t="shared" ca="1" si="4"/>
        <v>On Track</v>
      </c>
      <c r="W20" t="str">
        <f t="shared" si="5"/>
        <v/>
      </c>
      <c r="X20" t="e" cm="1">
        <f t="array" aca="1" ref="X20" ca="1" xml:space="preserve">
 _xlfn.IFS(S20&lt;=30,"0–30",
 S20&lt;=60,"31–60",
 S20&lt;=120,"61–120",
 TRUE,"120+"
)</f>
        <v>#NAME?</v>
      </c>
      <c r="Y20" s="11">
        <v>0</v>
      </c>
    </row>
    <row r="21" spans="1:25" x14ac:dyDescent="0.2">
      <c r="A21" t="s">
        <v>61</v>
      </c>
      <c r="B21" t="s">
        <v>163</v>
      </c>
      <c r="C21" t="s">
        <v>13</v>
      </c>
      <c r="D21" t="s">
        <v>376</v>
      </c>
      <c r="E21" t="s">
        <v>547</v>
      </c>
      <c r="F21" t="s">
        <v>427</v>
      </c>
      <c r="G21" t="s">
        <v>428</v>
      </c>
      <c r="H21" t="s">
        <v>43</v>
      </c>
      <c r="I21" t="s">
        <v>516</v>
      </c>
      <c r="J21" t="s">
        <v>539</v>
      </c>
      <c r="K21" t="s">
        <v>47</v>
      </c>
      <c r="L21" t="s">
        <v>52</v>
      </c>
      <c r="M21" s="1">
        <v>45800</v>
      </c>
      <c r="N21" s="1">
        <v>45935</v>
      </c>
      <c r="O21" s="11">
        <v>65263</v>
      </c>
      <c r="P21" s="14">
        <f t="shared" ca="1" si="0"/>
        <v>0</v>
      </c>
      <c r="Q21" t="s">
        <v>19</v>
      </c>
      <c r="R21" s="16" t="str">
        <f t="shared" ca="1" si="1"/>
        <v/>
      </c>
      <c r="S21" s="7">
        <f t="shared" ca="1" si="2"/>
        <v>122</v>
      </c>
      <c r="T21" t="s">
        <v>24</v>
      </c>
      <c r="U21" s="1">
        <f t="shared" ca="1" si="3"/>
        <v>45992</v>
      </c>
      <c r="V21" s="1" t="str">
        <f t="shared" ca="1" si="4"/>
        <v>No Follow-Up Needed</v>
      </c>
      <c r="W21" t="str">
        <f t="shared" si="5"/>
        <v>Time-Barred</v>
      </c>
      <c r="X21" t="e" cm="1">
        <f t="array" aca="1" ref="X21" ca="1" xml:space="preserve">
 _xlfn.IFS(S21&lt;=30,"0–30",
 S21&lt;=60,"31–60",
 S21&lt;=120,"61–120",
 TRUE,"120+"
)</f>
        <v>#NAME?</v>
      </c>
      <c r="Y21" s="11">
        <v>65263</v>
      </c>
    </row>
    <row r="22" spans="1:25" x14ac:dyDescent="0.2">
      <c r="A22" t="s">
        <v>62</v>
      </c>
      <c r="B22" t="s">
        <v>164</v>
      </c>
      <c r="C22" t="s">
        <v>29</v>
      </c>
      <c r="D22" t="s">
        <v>375</v>
      </c>
      <c r="E22" t="s">
        <v>548</v>
      </c>
      <c r="F22" t="s">
        <v>415</v>
      </c>
      <c r="G22" t="s">
        <v>416</v>
      </c>
      <c r="H22" t="s">
        <v>43</v>
      </c>
      <c r="I22" t="s">
        <v>497</v>
      </c>
      <c r="J22" t="s">
        <v>519</v>
      </c>
      <c r="K22" t="s">
        <v>47</v>
      </c>
      <c r="L22" t="s">
        <v>40</v>
      </c>
      <c r="M22" s="1">
        <v>45892</v>
      </c>
      <c r="N22" s="1">
        <v>45902</v>
      </c>
      <c r="O22" s="11">
        <v>131769</v>
      </c>
      <c r="P22" s="14">
        <f t="shared" ca="1" si="0"/>
        <v>0</v>
      </c>
      <c r="Q22" t="s">
        <v>19</v>
      </c>
      <c r="R22" s="16" t="str">
        <f t="shared" ca="1" si="1"/>
        <v/>
      </c>
      <c r="S22" s="7">
        <f t="shared" ca="1" si="2"/>
        <v>155</v>
      </c>
      <c r="T22" t="s">
        <v>16</v>
      </c>
      <c r="U22" s="1">
        <f t="shared" ca="1" si="3"/>
        <v>45961</v>
      </c>
      <c r="V22" s="1" t="str">
        <f t="shared" ca="1" si="4"/>
        <v>No Follow-Up Needed</v>
      </c>
      <c r="W22" t="str">
        <f t="shared" si="5"/>
        <v/>
      </c>
      <c r="X22" t="e" cm="1">
        <f t="array" aca="1" ref="X22" ca="1" xml:space="preserve">
 _xlfn.IFS(S22&lt;=30,"0–30",
 S22&lt;=60,"31–60",
 S22&lt;=120,"61–120",
 TRUE,"120+"
)</f>
        <v>#NAME?</v>
      </c>
      <c r="Y22" s="11">
        <v>0</v>
      </c>
    </row>
    <row r="23" spans="1:25" x14ac:dyDescent="0.2">
      <c r="A23" t="s">
        <v>63</v>
      </c>
      <c r="B23" t="s">
        <v>165</v>
      </c>
      <c r="C23" t="s">
        <v>18</v>
      </c>
      <c r="D23" t="s">
        <v>374</v>
      </c>
      <c r="E23" t="s">
        <v>546</v>
      </c>
      <c r="F23" t="s">
        <v>438</v>
      </c>
      <c r="G23" t="s">
        <v>439</v>
      </c>
      <c r="H23" t="s">
        <v>45</v>
      </c>
      <c r="I23" t="s">
        <v>512</v>
      </c>
      <c r="J23" t="s">
        <v>524</v>
      </c>
      <c r="K23" t="s">
        <v>64</v>
      </c>
      <c r="L23" t="s">
        <v>52</v>
      </c>
      <c r="M23" s="1">
        <v>45735</v>
      </c>
      <c r="N23" s="1">
        <v>45746</v>
      </c>
      <c r="O23" s="11">
        <v>184297</v>
      </c>
      <c r="P23" s="14">
        <f t="shared" ca="1" si="0"/>
        <v>165867</v>
      </c>
      <c r="Q23" t="s">
        <v>15</v>
      </c>
      <c r="R23" s="16">
        <f t="shared" ca="1" si="1"/>
        <v>0.89999837219271073</v>
      </c>
      <c r="S23" s="7">
        <f t="shared" ca="1" si="2"/>
        <v>311</v>
      </c>
      <c r="T23" t="s">
        <v>16</v>
      </c>
      <c r="U23" s="1">
        <f t="shared" ca="1" si="3"/>
        <v>45769</v>
      </c>
      <c r="V23" s="1" t="str">
        <f t="shared" ca="1" si="4"/>
        <v>No Follow-Up Needed</v>
      </c>
      <c r="W23" t="str">
        <f t="shared" si="5"/>
        <v/>
      </c>
      <c r="X23" t="e" cm="1">
        <f t="array" aca="1" ref="X23" ca="1" xml:space="preserve">
 _xlfn.IFS(S23&lt;=30,"0–30",
 S23&lt;=60,"31–60",
 S23&lt;=120,"61–120",
 TRUE,"120+"
)</f>
        <v>#NAME?</v>
      </c>
      <c r="Y23" s="11">
        <v>0</v>
      </c>
    </row>
    <row r="24" spans="1:25" x14ac:dyDescent="0.2">
      <c r="A24" t="s">
        <v>65</v>
      </c>
      <c r="B24" t="s">
        <v>166</v>
      </c>
      <c r="C24" t="s">
        <v>29</v>
      </c>
      <c r="D24" t="s">
        <v>373</v>
      </c>
      <c r="E24" t="s">
        <v>548</v>
      </c>
      <c r="F24" t="s">
        <v>415</v>
      </c>
      <c r="G24" t="s">
        <v>416</v>
      </c>
      <c r="H24" t="s">
        <v>60</v>
      </c>
      <c r="I24" t="s">
        <v>542</v>
      </c>
      <c r="J24" t="s">
        <v>525</v>
      </c>
      <c r="K24" t="s">
        <v>42</v>
      </c>
      <c r="L24" t="s">
        <v>52</v>
      </c>
      <c r="M24" s="1">
        <v>45920</v>
      </c>
      <c r="N24" s="1">
        <v>45929</v>
      </c>
      <c r="O24" s="11">
        <v>116745</v>
      </c>
      <c r="P24" s="14">
        <f t="shared" ca="1" si="0"/>
        <v>112075</v>
      </c>
      <c r="Q24" t="s">
        <v>15</v>
      </c>
      <c r="R24" s="16">
        <f t="shared" ca="1" si="1"/>
        <v>0.95999828686453381</v>
      </c>
      <c r="S24" s="7">
        <f t="shared" ca="1" si="2"/>
        <v>128</v>
      </c>
      <c r="T24" t="s">
        <v>24</v>
      </c>
      <c r="U24" s="1">
        <f t="shared" ca="1" si="3"/>
        <v>45950</v>
      </c>
      <c r="V24" s="1" t="str">
        <f t="shared" ca="1" si="4"/>
        <v>No Follow-Up Needed</v>
      </c>
      <c r="W24" t="str">
        <f t="shared" si="5"/>
        <v/>
      </c>
      <c r="X24" t="e" cm="1">
        <f t="array" aca="1" ref="X24" ca="1" xml:space="preserve">
 _xlfn.IFS(S24&lt;=30,"0–30",
 S24&lt;=60,"31–60",
 S24&lt;=120,"61–120",
 TRUE,"120+"
)</f>
        <v>#NAME?</v>
      </c>
      <c r="Y24" s="11">
        <v>0</v>
      </c>
    </row>
    <row r="25" spans="1:25" x14ac:dyDescent="0.2">
      <c r="A25" t="s">
        <v>66</v>
      </c>
      <c r="B25" t="s">
        <v>167</v>
      </c>
      <c r="C25" t="s">
        <v>396</v>
      </c>
      <c r="D25" t="s">
        <v>372</v>
      </c>
      <c r="E25" t="s">
        <v>256</v>
      </c>
      <c r="F25" t="s">
        <v>480</v>
      </c>
      <c r="G25" t="s">
        <v>481</v>
      </c>
      <c r="H25" t="s">
        <v>43</v>
      </c>
      <c r="I25" t="s">
        <v>516</v>
      </c>
      <c r="J25" t="s">
        <v>539</v>
      </c>
      <c r="K25" t="s">
        <v>64</v>
      </c>
      <c r="L25" t="s">
        <v>42</v>
      </c>
      <c r="M25" s="1">
        <v>46029</v>
      </c>
      <c r="N25" s="1">
        <v>46018</v>
      </c>
      <c r="O25" s="11">
        <v>148834</v>
      </c>
      <c r="P25" s="14">
        <f t="shared" ca="1" si="0"/>
        <v>96742</v>
      </c>
      <c r="Q25" t="s">
        <v>15</v>
      </c>
      <c r="R25" s="16">
        <f t="shared" ca="1" si="1"/>
        <v>0.64999932811051242</v>
      </c>
      <c r="S25" s="7">
        <f t="shared" ca="1" si="2"/>
        <v>39</v>
      </c>
      <c r="T25" t="s">
        <v>16</v>
      </c>
      <c r="U25" s="1">
        <f t="shared" ca="1" si="3"/>
        <v>46055</v>
      </c>
      <c r="V25" s="1" t="str">
        <f t="shared" ca="1" si="4"/>
        <v>No Follow-Up Needed</v>
      </c>
      <c r="W25" t="str">
        <f>IF(
  AND(OR(C25="HUBG",C25="XPO",C25="RXO",C25="FEDEX"), _xlfn.DAYS(N25,M25)&gt;60),
  "Time-Barred",
  IF(
    AND(OR(C25="JBHUNT",C25="BNSF",C25="Pulse"), _xlfn.DAYS(M25,N25)&gt;120),
    "Time-Barred",
    ""
  )
)</f>
        <v/>
      </c>
      <c r="X25" t="e" cm="1">
        <f t="array" aca="1" ref="X25" ca="1" xml:space="preserve">
 _xlfn.IFS(S25&lt;=30,"0–30",
 S25&lt;=60,"31–60",
 S25&lt;=120,"61–120",
 TRUE,"120+"
)</f>
        <v>#NAME?</v>
      </c>
      <c r="Y25" s="11">
        <v>0</v>
      </c>
    </row>
    <row r="26" spans="1:25" x14ac:dyDescent="0.2">
      <c r="A26" t="s">
        <v>67</v>
      </c>
      <c r="B26" t="s">
        <v>168</v>
      </c>
      <c r="C26" t="s">
        <v>28</v>
      </c>
      <c r="D26" t="s">
        <v>67</v>
      </c>
      <c r="E26" t="s">
        <v>546</v>
      </c>
      <c r="F26" t="s">
        <v>459</v>
      </c>
      <c r="G26" t="s">
        <v>460</v>
      </c>
      <c r="H26" t="s">
        <v>41</v>
      </c>
      <c r="I26" t="s">
        <v>516</v>
      </c>
      <c r="J26" t="s">
        <v>539</v>
      </c>
      <c r="K26" t="s">
        <v>64</v>
      </c>
      <c r="L26" t="s">
        <v>44</v>
      </c>
      <c r="M26" s="1">
        <v>45824</v>
      </c>
      <c r="N26" s="1">
        <v>45848</v>
      </c>
      <c r="O26" s="11">
        <v>35289</v>
      </c>
      <c r="P26" s="14">
        <f t="shared" ca="1" si="0"/>
        <v>0</v>
      </c>
      <c r="Q26" t="s">
        <v>19</v>
      </c>
      <c r="R26" s="16" t="str">
        <f t="shared" ca="1" si="1"/>
        <v/>
      </c>
      <c r="S26" s="7">
        <f t="shared" ca="1" si="2"/>
        <v>209</v>
      </c>
      <c r="T26" t="s">
        <v>24</v>
      </c>
      <c r="U26" s="1">
        <f t="shared" ca="1" si="3"/>
        <v>46003</v>
      </c>
      <c r="V26" s="1" t="str">
        <f t="shared" ca="1" si="4"/>
        <v>No Follow-Up Needed</v>
      </c>
      <c r="W26" t="str">
        <f t="shared" si="5"/>
        <v/>
      </c>
      <c r="X26" t="e" cm="1">
        <f t="array" aca="1" ref="X26" ca="1" xml:space="preserve">
 _xlfn.IFS(S26&lt;=30,"0–30",
 S26&lt;=60,"31–60",
 S26&lt;=120,"61–120",
 TRUE,"120+"
)</f>
        <v>#NAME?</v>
      </c>
      <c r="Y26" s="11">
        <v>0</v>
      </c>
    </row>
    <row r="27" spans="1:25" x14ac:dyDescent="0.2">
      <c r="A27" t="s">
        <v>68</v>
      </c>
      <c r="B27" t="s">
        <v>169</v>
      </c>
      <c r="C27" t="s">
        <v>22</v>
      </c>
      <c r="D27" t="s">
        <v>371</v>
      </c>
      <c r="E27" t="s">
        <v>546</v>
      </c>
      <c r="F27" t="s">
        <v>449</v>
      </c>
      <c r="G27" t="s">
        <v>450</v>
      </c>
      <c r="H27" t="s">
        <v>60</v>
      </c>
      <c r="I27" t="s">
        <v>542</v>
      </c>
      <c r="J27" t="s">
        <v>525</v>
      </c>
      <c r="K27" t="s">
        <v>55</v>
      </c>
      <c r="L27" t="s">
        <v>52</v>
      </c>
      <c r="M27" s="1">
        <v>45670</v>
      </c>
      <c r="N27" s="1">
        <v>45999</v>
      </c>
      <c r="O27" s="11">
        <v>40317</v>
      </c>
      <c r="P27" s="14">
        <f t="shared" ca="1" si="0"/>
        <v>0</v>
      </c>
      <c r="Q27" t="s">
        <v>19</v>
      </c>
      <c r="R27" s="16" t="str">
        <f t="shared" ca="1" si="1"/>
        <v/>
      </c>
      <c r="S27" s="7">
        <f t="shared" ca="1" si="2"/>
        <v>58</v>
      </c>
      <c r="T27" t="s">
        <v>24</v>
      </c>
      <c r="U27" s="1">
        <f t="shared" ca="1" si="3"/>
        <v>46014</v>
      </c>
      <c r="V27" s="1" t="str">
        <f t="shared" ca="1" si="4"/>
        <v>No Follow-Up Needed</v>
      </c>
      <c r="W27" t="str">
        <f t="shared" si="5"/>
        <v>Time-Barred</v>
      </c>
      <c r="X27" t="e" cm="1">
        <f t="array" aca="1" ref="X27" ca="1" xml:space="preserve">
 _xlfn.IFS(S27&lt;=30,"0–30",
 S27&lt;=60,"31–60",
 S27&lt;=120,"61–120",
 TRUE,"120+"
)</f>
        <v>#NAME?</v>
      </c>
      <c r="Y27" s="11">
        <v>40317</v>
      </c>
    </row>
    <row r="28" spans="1:25" x14ac:dyDescent="0.2">
      <c r="A28" t="s">
        <v>69</v>
      </c>
      <c r="B28" t="s">
        <v>170</v>
      </c>
      <c r="C28" t="s">
        <v>22</v>
      </c>
      <c r="D28" t="s">
        <v>370</v>
      </c>
      <c r="E28" t="s">
        <v>546</v>
      </c>
      <c r="F28" t="s">
        <v>449</v>
      </c>
      <c r="G28" t="s">
        <v>450</v>
      </c>
      <c r="H28" t="s">
        <v>14</v>
      </c>
      <c r="I28" t="s">
        <v>505</v>
      </c>
      <c r="J28" t="s">
        <v>529</v>
      </c>
      <c r="K28" t="s">
        <v>44</v>
      </c>
      <c r="L28" t="s">
        <v>40</v>
      </c>
      <c r="M28" s="1">
        <v>45878</v>
      </c>
      <c r="N28" s="1">
        <v>45886</v>
      </c>
      <c r="O28" s="11">
        <v>119840</v>
      </c>
      <c r="P28" s="14">
        <f t="shared" ca="1" si="0"/>
        <v>57523</v>
      </c>
      <c r="Q28" t="s">
        <v>23</v>
      </c>
      <c r="R28" s="16">
        <f t="shared" ca="1" si="1"/>
        <v>0.47999833110814422</v>
      </c>
      <c r="S28" s="7">
        <f t="shared" ca="1" si="2"/>
        <v>171</v>
      </c>
      <c r="T28" t="s">
        <v>24</v>
      </c>
      <c r="U28" s="1">
        <f t="shared" ca="1" si="3"/>
        <v>45945</v>
      </c>
      <c r="V28" s="1" t="str">
        <f t="shared" ca="1" si="4"/>
        <v>Overdue</v>
      </c>
      <c r="W28" t="str">
        <f t="shared" si="5"/>
        <v/>
      </c>
      <c r="X28" t="e" cm="1">
        <f t="array" aca="1" ref="X28" ca="1" xml:space="preserve">
 _xlfn.IFS(S28&lt;=30,"0–30",
 S28&lt;=60,"31–60",
 S28&lt;=120,"61–120",
 TRUE,"120+"
)</f>
        <v>#NAME?</v>
      </c>
      <c r="Y28" s="11">
        <v>0</v>
      </c>
    </row>
    <row r="29" spans="1:25" x14ac:dyDescent="0.2">
      <c r="A29" t="s">
        <v>70</v>
      </c>
      <c r="B29" t="s">
        <v>171</v>
      </c>
      <c r="C29" t="s">
        <v>29</v>
      </c>
      <c r="D29" t="s">
        <v>369</v>
      </c>
      <c r="E29" t="s">
        <v>548</v>
      </c>
      <c r="F29" t="s">
        <v>415</v>
      </c>
      <c r="G29" t="s">
        <v>416</v>
      </c>
      <c r="H29" t="s">
        <v>14</v>
      </c>
      <c r="I29" t="s">
        <v>510</v>
      </c>
      <c r="J29" t="s">
        <v>534</v>
      </c>
      <c r="K29" t="s">
        <v>64</v>
      </c>
      <c r="L29" t="s">
        <v>52</v>
      </c>
      <c r="M29" s="1">
        <v>45797</v>
      </c>
      <c r="N29" s="1">
        <v>45812</v>
      </c>
      <c r="O29" s="11">
        <v>154287</v>
      </c>
      <c r="P29" s="14">
        <f t="shared" ca="1" si="0"/>
        <v>0</v>
      </c>
      <c r="Q29" t="s">
        <v>27</v>
      </c>
      <c r="R29" s="16" t="str">
        <f t="shared" ca="1" si="1"/>
        <v/>
      </c>
      <c r="S29" s="7">
        <f t="shared" ca="1" si="2"/>
        <v>245</v>
      </c>
      <c r="T29" t="s">
        <v>24</v>
      </c>
      <c r="U29" s="1">
        <f t="shared" ca="1" si="3"/>
        <v>45880</v>
      </c>
      <c r="V29" s="1" t="str">
        <f t="shared" ca="1" si="4"/>
        <v>Overdue</v>
      </c>
      <c r="W29" t="str">
        <f t="shared" si="5"/>
        <v/>
      </c>
      <c r="X29" t="e" cm="1">
        <f t="array" aca="1" ref="X29" ca="1" xml:space="preserve">
 _xlfn.IFS(S29&lt;=30,"0–30",
 S29&lt;=60,"31–60",
 S29&lt;=120,"61–120",
 TRUE,"120+"
)</f>
        <v>#NAME?</v>
      </c>
      <c r="Y29" s="11">
        <v>0</v>
      </c>
    </row>
    <row r="30" spans="1:25" x14ac:dyDescent="0.2">
      <c r="A30" t="s">
        <v>71</v>
      </c>
      <c r="B30" t="s">
        <v>172</v>
      </c>
      <c r="C30" t="s">
        <v>29</v>
      </c>
      <c r="D30" t="s">
        <v>368</v>
      </c>
      <c r="E30" t="s">
        <v>548</v>
      </c>
      <c r="F30" t="s">
        <v>415</v>
      </c>
      <c r="G30" t="s">
        <v>416</v>
      </c>
      <c r="H30" t="s">
        <v>14</v>
      </c>
      <c r="I30" t="s">
        <v>510</v>
      </c>
      <c r="J30" t="s">
        <v>534</v>
      </c>
      <c r="K30" t="s">
        <v>47</v>
      </c>
      <c r="L30" t="s">
        <v>47</v>
      </c>
      <c r="M30" s="1">
        <v>45700</v>
      </c>
      <c r="N30" s="1">
        <v>45722</v>
      </c>
      <c r="O30" s="11">
        <v>134783</v>
      </c>
      <c r="P30" s="14">
        <f t="shared" ca="1" si="0"/>
        <v>79522</v>
      </c>
      <c r="Q30" t="s">
        <v>23</v>
      </c>
      <c r="R30" s="16">
        <f t="shared" ca="1" si="1"/>
        <v>0.59000022257999896</v>
      </c>
      <c r="S30" s="7">
        <f t="shared" ca="1" si="2"/>
        <v>335</v>
      </c>
      <c r="T30" t="s">
        <v>24</v>
      </c>
      <c r="U30" s="1">
        <f t="shared" ca="1" si="3"/>
        <v>45946</v>
      </c>
      <c r="V30" s="1" t="str">
        <f t="shared" ca="1" si="4"/>
        <v>Overdue</v>
      </c>
      <c r="W30" t="str">
        <f t="shared" si="5"/>
        <v/>
      </c>
      <c r="X30" t="e" cm="1">
        <f t="array" aca="1" ref="X30" ca="1" xml:space="preserve">
 _xlfn.IFS(S30&lt;=30,"0–30",
 S30&lt;=60,"31–60",
 S30&lt;=120,"61–120",
 TRUE,"120+"
)</f>
        <v>#NAME?</v>
      </c>
      <c r="Y30" s="11">
        <v>0</v>
      </c>
    </row>
    <row r="31" spans="1:25" x14ac:dyDescent="0.2">
      <c r="A31" t="s">
        <v>72</v>
      </c>
      <c r="B31" t="s">
        <v>173</v>
      </c>
      <c r="C31" t="s">
        <v>396</v>
      </c>
      <c r="D31" t="s">
        <v>367</v>
      </c>
      <c r="E31" t="s">
        <v>256</v>
      </c>
      <c r="F31" t="s">
        <v>480</v>
      </c>
      <c r="G31" t="s">
        <v>481</v>
      </c>
      <c r="H31" t="s">
        <v>60</v>
      </c>
      <c r="I31" t="s">
        <v>542</v>
      </c>
      <c r="J31" t="s">
        <v>525</v>
      </c>
      <c r="K31" t="s">
        <v>55</v>
      </c>
      <c r="L31" t="s">
        <v>55</v>
      </c>
      <c r="M31" s="1">
        <v>45973</v>
      </c>
      <c r="N31" s="1">
        <v>45992</v>
      </c>
      <c r="O31" s="11">
        <v>34701</v>
      </c>
      <c r="P31" s="14">
        <f t="shared" ca="1" si="0"/>
        <v>9369</v>
      </c>
      <c r="Q31" t="s">
        <v>23</v>
      </c>
      <c r="R31" s="16">
        <f t="shared" ca="1" si="1"/>
        <v>0.2699922192444022</v>
      </c>
      <c r="S31" s="7">
        <f t="shared" ca="1" si="2"/>
        <v>65</v>
      </c>
      <c r="T31" t="s">
        <v>16</v>
      </c>
      <c r="U31" s="1">
        <f t="shared" ca="1" si="3"/>
        <v>46053</v>
      </c>
      <c r="V31" s="1" t="str">
        <f t="shared" ca="1" si="4"/>
        <v>On Track</v>
      </c>
      <c r="W31" t="str">
        <f t="shared" si="5"/>
        <v/>
      </c>
      <c r="X31" t="e" cm="1">
        <f t="array" aca="1" ref="X31" ca="1" xml:space="preserve">
 _xlfn.IFS(S31&lt;=30,"0–30",
 S31&lt;=60,"31–60",
 S31&lt;=120,"61–120",
 TRUE,"120+"
)</f>
        <v>#NAME?</v>
      </c>
      <c r="Y31" s="11">
        <v>0</v>
      </c>
    </row>
    <row r="32" spans="1:25" x14ac:dyDescent="0.2">
      <c r="A32" t="s">
        <v>73</v>
      </c>
      <c r="B32" t="s">
        <v>174</v>
      </c>
      <c r="C32" t="s">
        <v>28</v>
      </c>
      <c r="D32" t="s">
        <v>73</v>
      </c>
      <c r="E32" t="s">
        <v>546</v>
      </c>
      <c r="F32" t="s">
        <v>459</v>
      </c>
      <c r="G32" t="s">
        <v>460</v>
      </c>
      <c r="H32" t="s">
        <v>60</v>
      </c>
      <c r="I32" t="s">
        <v>542</v>
      </c>
      <c r="J32" t="s">
        <v>525</v>
      </c>
      <c r="K32" t="s">
        <v>42</v>
      </c>
      <c r="L32" t="s">
        <v>42</v>
      </c>
      <c r="M32" s="1">
        <v>45692</v>
      </c>
      <c r="N32" s="1">
        <v>45720</v>
      </c>
      <c r="O32" s="11">
        <v>130270</v>
      </c>
      <c r="P32" s="14">
        <f t="shared" ca="1" si="0"/>
        <v>113335</v>
      </c>
      <c r="Q32" t="s">
        <v>15</v>
      </c>
      <c r="R32" s="16">
        <f t="shared" ca="1" si="1"/>
        <v>0.8700007676364474</v>
      </c>
      <c r="S32" s="7">
        <f t="shared" ca="1" si="2"/>
        <v>337</v>
      </c>
      <c r="T32" t="s">
        <v>16</v>
      </c>
      <c r="U32" s="1">
        <f t="shared" ca="1" si="3"/>
        <v>45922</v>
      </c>
      <c r="V32" s="1" t="str">
        <f t="shared" ca="1" si="4"/>
        <v>No Follow-Up Needed</v>
      </c>
      <c r="W32" t="str">
        <f t="shared" si="5"/>
        <v/>
      </c>
      <c r="X32" t="e" cm="1">
        <f t="array" aca="1" ref="X32" ca="1" xml:space="preserve">
 _xlfn.IFS(S32&lt;=30,"0–30",
 S32&lt;=60,"31–60",
 S32&lt;=120,"61–120",
 TRUE,"120+"
)</f>
        <v>#NAME?</v>
      </c>
      <c r="Y32" s="11">
        <v>0</v>
      </c>
    </row>
    <row r="33" spans="1:25" x14ac:dyDescent="0.2">
      <c r="A33" t="s">
        <v>74</v>
      </c>
      <c r="B33" t="s">
        <v>175</v>
      </c>
      <c r="C33" t="s">
        <v>13</v>
      </c>
      <c r="D33" t="s">
        <v>366</v>
      </c>
      <c r="E33" t="s">
        <v>547</v>
      </c>
      <c r="F33" t="s">
        <v>427</v>
      </c>
      <c r="G33" t="s">
        <v>428</v>
      </c>
      <c r="H33" t="s">
        <v>60</v>
      </c>
      <c r="I33" t="s">
        <v>542</v>
      </c>
      <c r="J33" t="s">
        <v>525</v>
      </c>
      <c r="K33" t="s">
        <v>40</v>
      </c>
      <c r="L33" t="s">
        <v>47</v>
      </c>
      <c r="M33" s="1">
        <v>45970</v>
      </c>
      <c r="N33" s="1">
        <v>45993</v>
      </c>
      <c r="O33" s="11">
        <v>198619</v>
      </c>
      <c r="P33" s="14">
        <f t="shared" ca="1" si="0"/>
        <v>178757</v>
      </c>
      <c r="Q33" t="s">
        <v>15</v>
      </c>
      <c r="R33" s="16">
        <f t="shared" ca="1" si="1"/>
        <v>0.89999949652349476</v>
      </c>
      <c r="S33" s="7">
        <f t="shared" ca="1" si="2"/>
        <v>64</v>
      </c>
      <c r="T33" t="s">
        <v>16</v>
      </c>
      <c r="U33" s="1">
        <f t="shared" ca="1" si="3"/>
        <v>46056</v>
      </c>
      <c r="V33" s="1" t="str">
        <f t="shared" ca="1" si="4"/>
        <v>No Follow-Up Needed</v>
      </c>
      <c r="W33" t="str">
        <f t="shared" si="5"/>
        <v/>
      </c>
      <c r="X33" t="e" cm="1">
        <f t="array" aca="1" ref="X33" ca="1" xml:space="preserve">
 _xlfn.IFS(S33&lt;=30,"0–30",
 S33&lt;=60,"31–60",
 S33&lt;=120,"61–120",
 TRUE,"120+"
)</f>
        <v>#NAME?</v>
      </c>
      <c r="Y33" s="11">
        <v>0</v>
      </c>
    </row>
    <row r="34" spans="1:25" x14ac:dyDescent="0.2">
      <c r="A34" t="s">
        <v>75</v>
      </c>
      <c r="B34" t="s">
        <v>176</v>
      </c>
      <c r="C34" t="s">
        <v>28</v>
      </c>
      <c r="D34" t="s">
        <v>75</v>
      </c>
      <c r="E34" t="s">
        <v>546</v>
      </c>
      <c r="F34" t="s">
        <v>459</v>
      </c>
      <c r="G34" t="s">
        <v>460</v>
      </c>
      <c r="H34" t="s">
        <v>45</v>
      </c>
      <c r="I34" t="s">
        <v>512</v>
      </c>
      <c r="J34" t="s">
        <v>524</v>
      </c>
      <c r="K34" t="s">
        <v>47</v>
      </c>
      <c r="L34" t="s">
        <v>40</v>
      </c>
      <c r="M34" s="1">
        <v>45754</v>
      </c>
      <c r="N34" s="1">
        <v>45782</v>
      </c>
      <c r="O34" s="11">
        <v>135937</v>
      </c>
      <c r="P34" s="14">
        <f t="shared" ca="1" si="0"/>
        <v>0</v>
      </c>
      <c r="Q34" t="s">
        <v>27</v>
      </c>
      <c r="R34" s="16" t="str">
        <f t="shared" ca="1" si="1"/>
        <v/>
      </c>
      <c r="S34" s="7">
        <f t="shared" ca="1" si="2"/>
        <v>275</v>
      </c>
      <c r="T34" t="s">
        <v>24</v>
      </c>
      <c r="U34" s="1">
        <f t="shared" ca="1" si="3"/>
        <v>46011</v>
      </c>
      <c r="V34" s="1" t="str">
        <f t="shared" ca="1" si="4"/>
        <v>Overdue</v>
      </c>
      <c r="W34" t="str">
        <f t="shared" si="5"/>
        <v/>
      </c>
      <c r="X34" t="e" cm="1">
        <f t="array" aca="1" ref="X34" ca="1" xml:space="preserve">
 _xlfn.IFS(S34&lt;=30,"0–30",
 S34&lt;=60,"31–60",
 S34&lt;=120,"61–120",
 TRUE,"120+"
)</f>
        <v>#NAME?</v>
      </c>
      <c r="Y34" s="11">
        <v>0</v>
      </c>
    </row>
    <row r="35" spans="1:25" x14ac:dyDescent="0.2">
      <c r="A35" t="s">
        <v>76</v>
      </c>
      <c r="B35" t="s">
        <v>177</v>
      </c>
      <c r="C35" t="s">
        <v>31</v>
      </c>
      <c r="D35" t="s">
        <v>365</v>
      </c>
      <c r="E35" t="s">
        <v>546</v>
      </c>
      <c r="F35" t="s">
        <v>470</v>
      </c>
      <c r="G35" t="s">
        <v>31</v>
      </c>
      <c r="H35" t="s">
        <v>41</v>
      </c>
      <c r="I35" t="s">
        <v>504</v>
      </c>
      <c r="J35" t="s">
        <v>528</v>
      </c>
      <c r="K35" t="s">
        <v>47</v>
      </c>
      <c r="L35" t="s">
        <v>80</v>
      </c>
      <c r="M35" s="1">
        <v>45678</v>
      </c>
      <c r="N35" s="1">
        <v>45688</v>
      </c>
      <c r="O35" s="11">
        <v>68</v>
      </c>
      <c r="P35" s="14">
        <f t="shared" ca="1" si="0"/>
        <v>61</v>
      </c>
      <c r="Q35" t="s">
        <v>15</v>
      </c>
      <c r="R35" s="16">
        <f t="shared" ca="1" si="1"/>
        <v>0.8970588235294118</v>
      </c>
      <c r="S35" s="7">
        <f t="shared" ca="1" si="2"/>
        <v>369</v>
      </c>
      <c r="T35" t="s">
        <v>16</v>
      </c>
      <c r="U35" s="1">
        <f t="shared" ca="1" si="3"/>
        <v>45982</v>
      </c>
      <c r="V35" s="1" t="str">
        <f t="shared" ca="1" si="4"/>
        <v>No Follow-Up Needed</v>
      </c>
      <c r="W35" t="str">
        <f t="shared" si="5"/>
        <v/>
      </c>
      <c r="X35" t="e" cm="1">
        <f t="array" aca="1" ref="X35" ca="1" xml:space="preserve">
 _xlfn.IFS(S35&lt;=30,"0–30",
 S35&lt;=60,"31–60",
 S35&lt;=120,"61–120",
 TRUE,"120+"
)</f>
        <v>#NAME?</v>
      </c>
      <c r="Y35" s="11">
        <v>0</v>
      </c>
    </row>
    <row r="36" spans="1:25" x14ac:dyDescent="0.2">
      <c r="A36" t="s">
        <v>77</v>
      </c>
      <c r="B36" t="s">
        <v>178</v>
      </c>
      <c r="C36" t="s">
        <v>22</v>
      </c>
      <c r="D36" t="s">
        <v>364</v>
      </c>
      <c r="E36" t="s">
        <v>546</v>
      </c>
      <c r="F36" t="s">
        <v>449</v>
      </c>
      <c r="G36" t="s">
        <v>450</v>
      </c>
      <c r="H36" t="s">
        <v>43</v>
      </c>
      <c r="I36" t="s">
        <v>542</v>
      </c>
      <c r="J36" t="s">
        <v>525</v>
      </c>
      <c r="K36" t="s">
        <v>42</v>
      </c>
      <c r="L36" t="s">
        <v>55</v>
      </c>
      <c r="M36" s="1">
        <v>45991</v>
      </c>
      <c r="N36" s="1">
        <v>46000</v>
      </c>
      <c r="O36" s="11">
        <v>101034</v>
      </c>
      <c r="P36" s="14">
        <f t="shared" ca="1" si="0"/>
        <v>0</v>
      </c>
      <c r="Q36" t="s">
        <v>19</v>
      </c>
      <c r="R36" s="16" t="str">
        <f t="shared" ca="1" si="1"/>
        <v/>
      </c>
      <c r="S36" s="7">
        <f t="shared" ca="1" si="2"/>
        <v>57</v>
      </c>
      <c r="T36" t="s">
        <v>24</v>
      </c>
      <c r="U36" s="1">
        <f t="shared" ca="1" si="3"/>
        <v>46030</v>
      </c>
      <c r="V36" s="1" t="str">
        <f t="shared" ca="1" si="4"/>
        <v>No Follow-Up Needed</v>
      </c>
      <c r="W36" t="str">
        <f t="shared" si="5"/>
        <v/>
      </c>
      <c r="X36" t="e" cm="1">
        <f t="array" aca="1" ref="X36" ca="1" xml:space="preserve">
 _xlfn.IFS(S36&lt;=30,"0–30",
 S36&lt;=60,"31–60",
 S36&lt;=120,"61–120",
 TRUE,"120+"
)</f>
        <v>#NAME?</v>
      </c>
      <c r="Y36" s="11">
        <v>0</v>
      </c>
    </row>
    <row r="37" spans="1:25" x14ac:dyDescent="0.2">
      <c r="A37" t="s">
        <v>78</v>
      </c>
      <c r="B37" t="s">
        <v>179</v>
      </c>
      <c r="C37" t="s">
        <v>18</v>
      </c>
      <c r="D37" t="s">
        <v>363</v>
      </c>
      <c r="E37" t="s">
        <v>546</v>
      </c>
      <c r="F37" t="s">
        <v>438</v>
      </c>
      <c r="G37" t="s">
        <v>439</v>
      </c>
      <c r="H37" t="s">
        <v>45</v>
      </c>
      <c r="I37" t="s">
        <v>512</v>
      </c>
      <c r="J37" t="s">
        <v>524</v>
      </c>
      <c r="K37" t="s">
        <v>42</v>
      </c>
      <c r="L37" t="s">
        <v>64</v>
      </c>
      <c r="M37" s="1">
        <v>45771</v>
      </c>
      <c r="N37" s="1">
        <v>45795</v>
      </c>
      <c r="O37" s="11">
        <v>27089</v>
      </c>
      <c r="P37" s="14">
        <f t="shared" ca="1" si="0"/>
        <v>16253</v>
      </c>
      <c r="Q37" t="s">
        <v>15</v>
      </c>
      <c r="R37" s="16">
        <f t="shared" ca="1" si="1"/>
        <v>0.5999852338587619</v>
      </c>
      <c r="S37" s="7">
        <f t="shared" ca="1" si="2"/>
        <v>262</v>
      </c>
      <c r="T37" t="s">
        <v>16</v>
      </c>
      <c r="U37" s="1">
        <f t="shared" ca="1" si="3"/>
        <v>45945</v>
      </c>
      <c r="V37" s="1" t="str">
        <f t="shared" ca="1" si="4"/>
        <v>No Follow-Up Needed</v>
      </c>
      <c r="W37" t="str">
        <f t="shared" si="5"/>
        <v/>
      </c>
      <c r="X37" t="e" cm="1">
        <f t="array" aca="1" ref="X37" ca="1" xml:space="preserve">
 _xlfn.IFS(S37&lt;=30,"0–30",
 S37&lt;=60,"31–60",
 S37&lt;=120,"61–120",
 TRUE,"120+"
)</f>
        <v>#NAME?</v>
      </c>
      <c r="Y37" s="11">
        <v>0</v>
      </c>
    </row>
    <row r="38" spans="1:25" x14ac:dyDescent="0.2">
      <c r="A38" t="s">
        <v>79</v>
      </c>
      <c r="B38" t="s">
        <v>180</v>
      </c>
      <c r="C38" t="s">
        <v>13</v>
      </c>
      <c r="D38" t="s">
        <v>362</v>
      </c>
      <c r="E38" t="s">
        <v>547</v>
      </c>
      <c r="F38" t="s">
        <v>427</v>
      </c>
      <c r="G38" t="s">
        <v>428</v>
      </c>
      <c r="H38" t="s">
        <v>14</v>
      </c>
      <c r="I38" t="s">
        <v>510</v>
      </c>
      <c r="J38" t="s">
        <v>534</v>
      </c>
      <c r="K38" t="s">
        <v>80</v>
      </c>
      <c r="L38" t="s">
        <v>42</v>
      </c>
      <c r="M38" s="1">
        <v>45728</v>
      </c>
      <c r="N38" s="1">
        <v>45742</v>
      </c>
      <c r="O38" s="11">
        <v>122434</v>
      </c>
      <c r="P38" s="14">
        <f t="shared" ca="1" si="0"/>
        <v>0</v>
      </c>
      <c r="Q38" t="s">
        <v>19</v>
      </c>
      <c r="R38" s="16" t="str">
        <f t="shared" ca="1" si="1"/>
        <v/>
      </c>
      <c r="S38" s="7">
        <f t="shared" ca="1" si="2"/>
        <v>315</v>
      </c>
      <c r="T38" t="s">
        <v>24</v>
      </c>
      <c r="U38" s="1">
        <f t="shared" ca="1" si="3"/>
        <v>45911</v>
      </c>
      <c r="V38" s="1" t="str">
        <f t="shared" ca="1" si="4"/>
        <v>No Follow-Up Needed</v>
      </c>
      <c r="W38" t="str">
        <f t="shared" si="5"/>
        <v/>
      </c>
      <c r="X38" t="e" cm="1">
        <f t="array" aca="1" ref="X38" ca="1" xml:space="preserve">
 _xlfn.IFS(S38&lt;=30,"0–30",
 S38&lt;=60,"31–60",
 S38&lt;=120,"61–120",
 TRUE,"120+"
)</f>
        <v>#NAME?</v>
      </c>
      <c r="Y38" s="11">
        <v>0</v>
      </c>
    </row>
    <row r="39" spans="1:25" x14ac:dyDescent="0.2">
      <c r="A39" t="s">
        <v>81</v>
      </c>
      <c r="B39" t="s">
        <v>181</v>
      </c>
      <c r="C39" t="s">
        <v>13</v>
      </c>
      <c r="D39" t="s">
        <v>361</v>
      </c>
      <c r="E39" t="s">
        <v>547</v>
      </c>
      <c r="F39" t="s">
        <v>427</v>
      </c>
      <c r="G39" t="s">
        <v>428</v>
      </c>
      <c r="H39" t="s">
        <v>45</v>
      </c>
      <c r="I39" t="s">
        <v>512</v>
      </c>
      <c r="J39" t="s">
        <v>524</v>
      </c>
      <c r="K39" t="s">
        <v>42</v>
      </c>
      <c r="L39" t="s">
        <v>42</v>
      </c>
      <c r="M39" s="1">
        <v>45948</v>
      </c>
      <c r="N39" s="1">
        <v>45955</v>
      </c>
      <c r="O39" s="11">
        <v>131682</v>
      </c>
      <c r="P39" s="14">
        <f t="shared" ca="1" si="0"/>
        <v>0</v>
      </c>
      <c r="Q39" t="s">
        <v>27</v>
      </c>
      <c r="R39" s="16" t="str">
        <f t="shared" ca="1" si="1"/>
        <v/>
      </c>
      <c r="S39" s="7">
        <f t="shared" ca="1" si="2"/>
        <v>102</v>
      </c>
      <c r="T39" t="s">
        <v>16</v>
      </c>
      <c r="U39" s="1">
        <f t="shared" ca="1" si="3"/>
        <v>45956</v>
      </c>
      <c r="V39" s="1" t="str">
        <f t="shared" ca="1" si="4"/>
        <v>Overdue</v>
      </c>
      <c r="W39" t="str">
        <f t="shared" si="5"/>
        <v/>
      </c>
      <c r="X39" t="e" cm="1">
        <f t="array" aca="1" ref="X39" ca="1" xml:space="preserve">
 _xlfn.IFS(S39&lt;=30,"0–30",
 S39&lt;=60,"31–60",
 S39&lt;=120,"61–120",
 TRUE,"120+"
)</f>
        <v>#NAME?</v>
      </c>
      <c r="Y39" s="11">
        <v>0</v>
      </c>
    </row>
    <row r="40" spans="1:25" x14ac:dyDescent="0.2">
      <c r="A40" t="s">
        <v>82</v>
      </c>
      <c r="B40" t="s">
        <v>182</v>
      </c>
      <c r="C40" t="s">
        <v>13</v>
      </c>
      <c r="D40" t="s">
        <v>360</v>
      </c>
      <c r="E40" t="s">
        <v>547</v>
      </c>
      <c r="F40" t="s">
        <v>427</v>
      </c>
      <c r="G40" t="s">
        <v>428</v>
      </c>
      <c r="H40" t="s">
        <v>60</v>
      </c>
      <c r="I40" t="s">
        <v>542</v>
      </c>
      <c r="J40" t="s">
        <v>525</v>
      </c>
      <c r="K40" t="s">
        <v>44</v>
      </c>
      <c r="L40" t="s">
        <v>55</v>
      </c>
      <c r="M40" s="1">
        <v>45911</v>
      </c>
      <c r="N40" s="1">
        <v>45922</v>
      </c>
      <c r="O40" s="11">
        <v>37365</v>
      </c>
      <c r="P40" s="14">
        <f t="shared" ca="1" si="0"/>
        <v>0</v>
      </c>
      <c r="Q40" t="s">
        <v>19</v>
      </c>
      <c r="R40" s="16" t="str">
        <f t="shared" ca="1" si="1"/>
        <v/>
      </c>
      <c r="S40" s="7">
        <f t="shared" ca="1" si="2"/>
        <v>135</v>
      </c>
      <c r="T40" t="s">
        <v>16</v>
      </c>
      <c r="U40" s="1">
        <f t="shared" ca="1" si="3"/>
        <v>46025</v>
      </c>
      <c r="V40" s="1" t="str">
        <f t="shared" ca="1" si="4"/>
        <v>No Follow-Up Needed</v>
      </c>
      <c r="W40" t="str">
        <f t="shared" si="5"/>
        <v/>
      </c>
      <c r="X40" t="e" cm="1">
        <f t="array" aca="1" ref="X40" ca="1" xml:space="preserve">
 _xlfn.IFS(S40&lt;=30,"0–30",
 S40&lt;=60,"31–60",
 S40&lt;=120,"61–120",
 TRUE,"120+"
)</f>
        <v>#NAME?</v>
      </c>
      <c r="Y40" s="11">
        <v>0</v>
      </c>
    </row>
    <row r="41" spans="1:25" x14ac:dyDescent="0.2">
      <c r="A41" t="s">
        <v>83</v>
      </c>
      <c r="B41" t="s">
        <v>183</v>
      </c>
      <c r="C41" t="s">
        <v>29</v>
      </c>
      <c r="D41" t="s">
        <v>359</v>
      </c>
      <c r="E41" t="s">
        <v>548</v>
      </c>
      <c r="F41" t="s">
        <v>415</v>
      </c>
      <c r="G41" t="s">
        <v>416</v>
      </c>
      <c r="H41" t="s">
        <v>39</v>
      </c>
      <c r="I41" t="s">
        <v>497</v>
      </c>
      <c r="J41" t="s">
        <v>519</v>
      </c>
      <c r="K41" t="s">
        <v>40</v>
      </c>
      <c r="L41" t="s">
        <v>80</v>
      </c>
      <c r="M41" s="1">
        <v>46007</v>
      </c>
      <c r="N41" s="1">
        <v>46031</v>
      </c>
      <c r="O41" s="11">
        <v>68751</v>
      </c>
      <c r="P41" s="14">
        <f t="shared" ca="1" si="0"/>
        <v>64626</v>
      </c>
      <c r="Q41" t="s">
        <v>15</v>
      </c>
      <c r="R41" s="16">
        <f t="shared" ca="1" si="1"/>
        <v>0.94000087271457866</v>
      </c>
      <c r="S41" s="7">
        <f t="shared" ca="1" si="2"/>
        <v>26</v>
      </c>
      <c r="T41" t="s">
        <v>16</v>
      </c>
      <c r="U41" s="1">
        <f t="shared" ca="1" si="3"/>
        <v>46050</v>
      </c>
      <c r="V41" s="1" t="str">
        <f t="shared" ca="1" si="4"/>
        <v>No Follow-Up Needed</v>
      </c>
      <c r="W41" t="str">
        <f t="shared" si="5"/>
        <v/>
      </c>
      <c r="X41" t="e" cm="1">
        <f t="array" aca="1" ref="X41" ca="1" xml:space="preserve">
 _xlfn.IFS(S41&lt;=30,"0–30",
 S41&lt;=60,"31–60",
 S41&lt;=120,"61–120",
 TRUE,"120+"
)</f>
        <v>#NAME?</v>
      </c>
      <c r="Y41" s="11">
        <v>0</v>
      </c>
    </row>
    <row r="42" spans="1:25" x14ac:dyDescent="0.2">
      <c r="A42" t="s">
        <v>84</v>
      </c>
      <c r="B42" t="s">
        <v>184</v>
      </c>
      <c r="C42" t="s">
        <v>396</v>
      </c>
      <c r="D42" t="s">
        <v>358</v>
      </c>
      <c r="E42" t="s">
        <v>256</v>
      </c>
      <c r="F42" t="s">
        <v>480</v>
      </c>
      <c r="G42" t="s">
        <v>481</v>
      </c>
      <c r="H42" t="s">
        <v>60</v>
      </c>
      <c r="I42" t="s">
        <v>542</v>
      </c>
      <c r="J42" t="s">
        <v>525</v>
      </c>
      <c r="K42" t="s">
        <v>80</v>
      </c>
      <c r="L42" t="s">
        <v>80</v>
      </c>
      <c r="M42" s="1">
        <v>45698</v>
      </c>
      <c r="N42" s="1">
        <v>45718</v>
      </c>
      <c r="O42" s="11">
        <v>107650</v>
      </c>
      <c r="P42" s="14">
        <f t="shared" ca="1" si="0"/>
        <v>0</v>
      </c>
      <c r="Q42" t="s">
        <v>27</v>
      </c>
      <c r="R42" s="16" t="str">
        <f t="shared" ca="1" si="1"/>
        <v/>
      </c>
      <c r="S42" s="7">
        <f t="shared" ca="1" si="2"/>
        <v>339</v>
      </c>
      <c r="T42" t="s">
        <v>16</v>
      </c>
      <c r="U42" s="1">
        <f t="shared" ca="1" si="3"/>
        <v>45821</v>
      </c>
      <c r="V42" s="1" t="str">
        <f t="shared" ca="1" si="4"/>
        <v>Overdue</v>
      </c>
      <c r="W42" t="str">
        <f t="shared" si="5"/>
        <v/>
      </c>
      <c r="X42" t="e" cm="1">
        <f t="array" aca="1" ref="X42" ca="1" xml:space="preserve">
 _xlfn.IFS(S42&lt;=30,"0–30",
 S42&lt;=60,"31–60",
 S42&lt;=120,"61–120",
 TRUE,"120+"
)</f>
        <v>#NAME?</v>
      </c>
      <c r="Y42" s="11">
        <v>0</v>
      </c>
    </row>
    <row r="43" spans="1:25" x14ac:dyDescent="0.2">
      <c r="A43" t="s">
        <v>85</v>
      </c>
      <c r="B43" t="s">
        <v>185</v>
      </c>
      <c r="C43" t="s">
        <v>396</v>
      </c>
      <c r="D43" t="s">
        <v>357</v>
      </c>
      <c r="E43" t="s">
        <v>256</v>
      </c>
      <c r="F43" t="s">
        <v>480</v>
      </c>
      <c r="G43" t="s">
        <v>481</v>
      </c>
      <c r="H43" t="s">
        <v>45</v>
      </c>
      <c r="I43" t="s">
        <v>512</v>
      </c>
      <c r="J43" t="s">
        <v>524</v>
      </c>
      <c r="K43" t="s">
        <v>64</v>
      </c>
      <c r="L43" t="s">
        <v>80</v>
      </c>
      <c r="M43" s="1">
        <v>45961</v>
      </c>
      <c r="N43" s="1">
        <v>45967</v>
      </c>
      <c r="O43" s="11">
        <v>181548</v>
      </c>
      <c r="P43" s="14">
        <f t="shared" ca="1" si="0"/>
        <v>136161</v>
      </c>
      <c r="Q43" t="s">
        <v>15</v>
      </c>
      <c r="R43" s="16">
        <f t="shared" ca="1" si="1"/>
        <v>0.75</v>
      </c>
      <c r="S43" s="7">
        <f t="shared" ca="1" si="2"/>
        <v>90</v>
      </c>
      <c r="T43" t="s">
        <v>24</v>
      </c>
      <c r="U43" s="1">
        <f t="shared" ca="1" si="3"/>
        <v>46019</v>
      </c>
      <c r="V43" s="1" t="str">
        <f t="shared" ca="1" si="4"/>
        <v>No Follow-Up Needed</v>
      </c>
      <c r="W43" t="str">
        <f t="shared" si="5"/>
        <v/>
      </c>
      <c r="X43" t="e" cm="1">
        <f t="array" aca="1" ref="X43" ca="1" xml:space="preserve">
 _xlfn.IFS(S43&lt;=30,"0–30",
 S43&lt;=60,"31–60",
 S43&lt;=120,"61–120",
 TRUE,"120+"
)</f>
        <v>#NAME?</v>
      </c>
      <c r="Y43" s="11">
        <v>0</v>
      </c>
    </row>
    <row r="44" spans="1:25" x14ac:dyDescent="0.2">
      <c r="A44" t="s">
        <v>86</v>
      </c>
      <c r="B44" t="s">
        <v>186</v>
      </c>
      <c r="C44" t="s">
        <v>31</v>
      </c>
      <c r="D44" t="s">
        <v>356</v>
      </c>
      <c r="E44" t="s">
        <v>546</v>
      </c>
      <c r="F44" t="s">
        <v>470</v>
      </c>
      <c r="G44" t="s">
        <v>31</v>
      </c>
      <c r="H44" t="s">
        <v>43</v>
      </c>
      <c r="I44" t="s">
        <v>515</v>
      </c>
      <c r="J44" t="s">
        <v>538</v>
      </c>
      <c r="K44" t="s">
        <v>44</v>
      </c>
      <c r="L44" t="s">
        <v>42</v>
      </c>
      <c r="M44" s="1">
        <v>45908</v>
      </c>
      <c r="N44" s="1">
        <v>45916</v>
      </c>
      <c r="O44" s="11">
        <v>152074</v>
      </c>
      <c r="P44" s="14">
        <f t="shared" ca="1" si="0"/>
        <v>9124</v>
      </c>
      <c r="Q44" t="s">
        <v>23</v>
      </c>
      <c r="R44" s="16">
        <f t="shared" ca="1" si="1"/>
        <v>5.9997106671751912E-2</v>
      </c>
      <c r="S44" s="7">
        <f t="shared" ca="1" si="2"/>
        <v>141</v>
      </c>
      <c r="T44" t="s">
        <v>16</v>
      </c>
      <c r="U44" s="1">
        <f t="shared" ca="1" si="3"/>
        <v>46053</v>
      </c>
      <c r="V44" s="1" t="str">
        <f t="shared" ca="1" si="4"/>
        <v>On Track</v>
      </c>
      <c r="W44" t="str">
        <f t="shared" si="5"/>
        <v/>
      </c>
      <c r="X44" t="e" cm="1">
        <f t="array" aca="1" ref="X44" ca="1" xml:space="preserve">
 _xlfn.IFS(S44&lt;=30,"0–30",
 S44&lt;=60,"31–60",
 S44&lt;=120,"61–120",
 TRUE,"120+"
)</f>
        <v>#NAME?</v>
      </c>
      <c r="Y44" s="11">
        <v>0</v>
      </c>
    </row>
    <row r="45" spans="1:25" x14ac:dyDescent="0.2">
      <c r="A45" t="s">
        <v>87</v>
      </c>
      <c r="B45" t="s">
        <v>187</v>
      </c>
      <c r="C45" t="s">
        <v>18</v>
      </c>
      <c r="D45" t="s">
        <v>355</v>
      </c>
      <c r="E45" t="s">
        <v>546</v>
      </c>
      <c r="F45" t="s">
        <v>438</v>
      </c>
      <c r="G45" t="s">
        <v>439</v>
      </c>
      <c r="H45" t="s">
        <v>41</v>
      </c>
      <c r="I45" t="s">
        <v>514</v>
      </c>
      <c r="J45" t="s">
        <v>537</v>
      </c>
      <c r="K45" t="s">
        <v>42</v>
      </c>
      <c r="L45" t="s">
        <v>52</v>
      </c>
      <c r="M45" s="1">
        <v>45696</v>
      </c>
      <c r="N45" s="1">
        <v>45717</v>
      </c>
      <c r="O45" s="11">
        <v>1373</v>
      </c>
      <c r="P45" s="14">
        <f t="shared" ca="1" si="0"/>
        <v>0</v>
      </c>
      <c r="Q45" t="s">
        <v>27</v>
      </c>
      <c r="R45" s="16" t="str">
        <f t="shared" ca="1" si="1"/>
        <v/>
      </c>
      <c r="S45" s="7">
        <f t="shared" ca="1" si="2"/>
        <v>340</v>
      </c>
      <c r="T45" t="s">
        <v>24</v>
      </c>
      <c r="U45" s="1">
        <f t="shared" ca="1" si="3"/>
        <v>45926</v>
      </c>
      <c r="V45" s="1" t="str">
        <f t="shared" ca="1" si="4"/>
        <v>Overdue</v>
      </c>
      <c r="W45" t="str">
        <f t="shared" si="5"/>
        <v/>
      </c>
      <c r="X45" t="e" cm="1">
        <f t="array" aca="1" ref="X45" ca="1" xml:space="preserve">
 _xlfn.IFS(S45&lt;=30,"0–30",
 S45&lt;=60,"31–60",
 S45&lt;=120,"61–120",
 TRUE,"120+"
)</f>
        <v>#NAME?</v>
      </c>
      <c r="Y45" s="11">
        <v>0</v>
      </c>
    </row>
    <row r="46" spans="1:25" x14ac:dyDescent="0.2">
      <c r="A46" t="s">
        <v>88</v>
      </c>
      <c r="B46" t="s">
        <v>188</v>
      </c>
      <c r="C46" t="s">
        <v>28</v>
      </c>
      <c r="D46" t="s">
        <v>88</v>
      </c>
      <c r="E46" t="s">
        <v>546</v>
      </c>
      <c r="F46" t="s">
        <v>459</v>
      </c>
      <c r="G46" t="s">
        <v>460</v>
      </c>
      <c r="H46" t="s">
        <v>43</v>
      </c>
      <c r="I46" t="s">
        <v>498</v>
      </c>
      <c r="J46" t="s">
        <v>520</v>
      </c>
      <c r="K46" t="s">
        <v>47</v>
      </c>
      <c r="L46" t="s">
        <v>42</v>
      </c>
      <c r="M46" s="1">
        <v>45739</v>
      </c>
      <c r="N46" s="1">
        <v>45758</v>
      </c>
      <c r="O46" s="11">
        <v>14441</v>
      </c>
      <c r="P46" s="14">
        <f t="shared" ca="1" si="0"/>
        <v>12564</v>
      </c>
      <c r="Q46" t="s">
        <v>15</v>
      </c>
      <c r="R46" s="16">
        <f t="shared" ca="1" si="1"/>
        <v>0.87002285160307458</v>
      </c>
      <c r="S46" s="7">
        <f t="shared" ca="1" si="2"/>
        <v>299</v>
      </c>
      <c r="T46" t="s">
        <v>16</v>
      </c>
      <c r="U46" s="1">
        <f t="shared" ca="1" si="3"/>
        <v>45925</v>
      </c>
      <c r="V46" s="1" t="str">
        <f t="shared" ca="1" si="4"/>
        <v>No Follow-Up Needed</v>
      </c>
      <c r="W46" t="str">
        <f t="shared" si="5"/>
        <v/>
      </c>
      <c r="X46" t="e" cm="1">
        <f t="array" aca="1" ref="X46" ca="1" xml:space="preserve">
 _xlfn.IFS(S46&lt;=30,"0–30",
 S46&lt;=60,"31–60",
 S46&lt;=120,"61–120",
 TRUE,"120+"
)</f>
        <v>#NAME?</v>
      </c>
      <c r="Y46" s="11">
        <v>0</v>
      </c>
    </row>
    <row r="47" spans="1:25" x14ac:dyDescent="0.2">
      <c r="A47" t="s">
        <v>89</v>
      </c>
      <c r="B47" t="s">
        <v>189</v>
      </c>
      <c r="C47" t="s">
        <v>31</v>
      </c>
      <c r="D47" t="s">
        <v>354</v>
      </c>
      <c r="E47" t="s">
        <v>546</v>
      </c>
      <c r="F47" t="s">
        <v>470</v>
      </c>
      <c r="G47" t="s">
        <v>31</v>
      </c>
      <c r="H47" t="s">
        <v>60</v>
      </c>
      <c r="I47" t="s">
        <v>542</v>
      </c>
      <c r="J47" t="s">
        <v>525</v>
      </c>
      <c r="K47" t="s">
        <v>42</v>
      </c>
      <c r="L47" t="s">
        <v>47</v>
      </c>
      <c r="M47" s="1">
        <v>45922</v>
      </c>
      <c r="N47" s="1">
        <v>45937</v>
      </c>
      <c r="O47" s="11">
        <v>122864</v>
      </c>
      <c r="P47" s="14">
        <f t="shared" ca="1" si="0"/>
        <v>0</v>
      </c>
      <c r="Q47" t="s">
        <v>27</v>
      </c>
      <c r="R47" s="16" t="str">
        <f t="shared" ca="1" si="1"/>
        <v/>
      </c>
      <c r="S47" s="7">
        <f t="shared" ca="1" si="2"/>
        <v>120</v>
      </c>
      <c r="T47" t="s">
        <v>16</v>
      </c>
      <c r="U47" s="1">
        <f t="shared" ca="1" si="3"/>
        <v>45961</v>
      </c>
      <c r="V47" s="1" t="str">
        <f t="shared" ca="1" si="4"/>
        <v>Overdue</v>
      </c>
      <c r="W47" t="str">
        <f t="shared" si="5"/>
        <v/>
      </c>
      <c r="X47" t="e" cm="1">
        <f t="array" aca="1" ref="X47" ca="1" xml:space="preserve">
 _xlfn.IFS(S47&lt;=30,"0–30",
 S47&lt;=60,"31–60",
 S47&lt;=120,"61–120",
 TRUE,"120+"
)</f>
        <v>#NAME?</v>
      </c>
      <c r="Y47" s="11">
        <v>0</v>
      </c>
    </row>
    <row r="48" spans="1:25" x14ac:dyDescent="0.2">
      <c r="A48" t="s">
        <v>90</v>
      </c>
      <c r="B48" t="s">
        <v>190</v>
      </c>
      <c r="C48" t="s">
        <v>13</v>
      </c>
      <c r="D48" t="s">
        <v>353</v>
      </c>
      <c r="E48" t="s">
        <v>547</v>
      </c>
      <c r="F48" t="s">
        <v>427</v>
      </c>
      <c r="G48" t="s">
        <v>428</v>
      </c>
      <c r="H48" t="s">
        <v>45</v>
      </c>
      <c r="I48" t="s">
        <v>512</v>
      </c>
      <c r="J48" t="s">
        <v>524</v>
      </c>
      <c r="K48" t="s">
        <v>47</v>
      </c>
      <c r="L48" t="s">
        <v>47</v>
      </c>
      <c r="M48" s="1">
        <v>45819</v>
      </c>
      <c r="N48" s="1">
        <v>45822</v>
      </c>
      <c r="O48" s="11">
        <v>78987</v>
      </c>
      <c r="P48" s="14">
        <f t="shared" ca="1" si="0"/>
        <v>0</v>
      </c>
      <c r="Q48" t="s">
        <v>19</v>
      </c>
      <c r="R48" s="16" t="str">
        <f t="shared" ca="1" si="1"/>
        <v/>
      </c>
      <c r="S48" s="7">
        <f t="shared" ca="1" si="2"/>
        <v>235</v>
      </c>
      <c r="T48" t="s">
        <v>16</v>
      </c>
      <c r="U48" s="1">
        <f t="shared" ca="1" si="3"/>
        <v>45903</v>
      </c>
      <c r="V48" s="1" t="str">
        <f t="shared" ca="1" si="4"/>
        <v>No Follow-Up Needed</v>
      </c>
      <c r="W48" t="str">
        <f t="shared" si="5"/>
        <v/>
      </c>
      <c r="X48" t="e" cm="1">
        <f t="array" aca="1" ref="X48" ca="1" xml:space="preserve">
 _xlfn.IFS(S48&lt;=30,"0–30",
 S48&lt;=60,"31–60",
 S48&lt;=120,"61–120",
 TRUE,"120+"
)</f>
        <v>#NAME?</v>
      </c>
      <c r="Y48" s="11">
        <v>0</v>
      </c>
    </row>
    <row r="49" spans="1:25" x14ac:dyDescent="0.2">
      <c r="A49" t="s">
        <v>91</v>
      </c>
      <c r="B49" t="s">
        <v>191</v>
      </c>
      <c r="C49" t="s">
        <v>28</v>
      </c>
      <c r="D49" t="s">
        <v>91</v>
      </c>
      <c r="E49" t="s">
        <v>546</v>
      </c>
      <c r="F49" t="s">
        <v>459</v>
      </c>
      <c r="G49" t="s">
        <v>460</v>
      </c>
      <c r="H49" t="s">
        <v>45</v>
      </c>
      <c r="I49" t="s">
        <v>512</v>
      </c>
      <c r="J49" t="s">
        <v>524</v>
      </c>
      <c r="K49" t="s">
        <v>40</v>
      </c>
      <c r="L49" t="s">
        <v>44</v>
      </c>
      <c r="M49" s="1">
        <v>45833</v>
      </c>
      <c r="N49" s="1">
        <v>45861</v>
      </c>
      <c r="O49" s="11">
        <v>179756</v>
      </c>
      <c r="P49" s="14">
        <f t="shared" ca="1" si="0"/>
        <v>0</v>
      </c>
      <c r="Q49" t="s">
        <v>19</v>
      </c>
      <c r="R49" s="16" t="str">
        <f t="shared" ca="1" si="1"/>
        <v/>
      </c>
      <c r="S49" s="7">
        <f t="shared" ca="1" si="2"/>
        <v>196</v>
      </c>
      <c r="T49" t="s">
        <v>16</v>
      </c>
      <c r="U49" s="1">
        <f t="shared" ca="1" si="3"/>
        <v>45917</v>
      </c>
      <c r="V49" s="1" t="str">
        <f t="shared" ca="1" si="4"/>
        <v>No Follow-Up Needed</v>
      </c>
      <c r="W49" t="str">
        <f t="shared" si="5"/>
        <v/>
      </c>
      <c r="X49" t="e" cm="1">
        <f t="array" aca="1" ref="X49" ca="1" xml:space="preserve">
 _xlfn.IFS(S49&lt;=30,"0–30",
 S49&lt;=60,"31–60",
 S49&lt;=120,"61–120",
 TRUE,"120+"
)</f>
        <v>#NAME?</v>
      </c>
      <c r="Y49" s="11">
        <v>0</v>
      </c>
    </row>
    <row r="50" spans="1:25" x14ac:dyDescent="0.2">
      <c r="A50" t="s">
        <v>92</v>
      </c>
      <c r="B50" t="s">
        <v>192</v>
      </c>
      <c r="C50" t="s">
        <v>396</v>
      </c>
      <c r="D50" t="s">
        <v>352</v>
      </c>
      <c r="E50" t="s">
        <v>256</v>
      </c>
      <c r="F50" t="s">
        <v>480</v>
      </c>
      <c r="G50" t="s">
        <v>481</v>
      </c>
      <c r="H50" t="s">
        <v>45</v>
      </c>
      <c r="I50" t="s">
        <v>512</v>
      </c>
      <c r="J50" t="s">
        <v>524</v>
      </c>
      <c r="K50" t="s">
        <v>44</v>
      </c>
      <c r="L50" t="s">
        <v>52</v>
      </c>
      <c r="M50" s="1">
        <v>45879</v>
      </c>
      <c r="N50" s="1">
        <v>45897</v>
      </c>
      <c r="O50" s="11">
        <v>178645</v>
      </c>
      <c r="P50" s="14">
        <f t="shared" ca="1" si="0"/>
        <v>125052</v>
      </c>
      <c r="Q50" t="s">
        <v>15</v>
      </c>
      <c r="R50" s="16">
        <f t="shared" ca="1" si="1"/>
        <v>0.70000279884687511</v>
      </c>
      <c r="S50" s="7">
        <f t="shared" ca="1" si="2"/>
        <v>160</v>
      </c>
      <c r="T50" t="s">
        <v>16</v>
      </c>
      <c r="U50" s="1">
        <f t="shared" ca="1" si="3"/>
        <v>46055</v>
      </c>
      <c r="V50" s="1" t="str">
        <f t="shared" ca="1" si="4"/>
        <v>No Follow-Up Needed</v>
      </c>
      <c r="W50" t="str">
        <f t="shared" si="5"/>
        <v/>
      </c>
      <c r="X50" t="e" cm="1">
        <f t="array" aca="1" ref="X50" ca="1" xml:space="preserve">
 _xlfn.IFS(S50&lt;=30,"0–30",
 S50&lt;=60,"31–60",
 S50&lt;=120,"61–120",
 TRUE,"120+"
)</f>
        <v>#NAME?</v>
      </c>
      <c r="Y50" s="11">
        <v>0</v>
      </c>
    </row>
    <row r="51" spans="1:25" x14ac:dyDescent="0.2">
      <c r="A51" t="s">
        <v>93</v>
      </c>
      <c r="B51" t="s">
        <v>193</v>
      </c>
      <c r="C51" t="s">
        <v>29</v>
      </c>
      <c r="D51" t="s">
        <v>351</v>
      </c>
      <c r="E51" t="s">
        <v>548</v>
      </c>
      <c r="F51" t="s">
        <v>415</v>
      </c>
      <c r="G51" t="s">
        <v>416</v>
      </c>
      <c r="H51" t="s">
        <v>39</v>
      </c>
      <c r="I51" t="s">
        <v>509</v>
      </c>
      <c r="J51" t="s">
        <v>533</v>
      </c>
      <c r="K51" t="s">
        <v>80</v>
      </c>
      <c r="L51" t="s">
        <v>64</v>
      </c>
      <c r="M51" s="1">
        <v>45725</v>
      </c>
      <c r="N51" s="1">
        <v>45736</v>
      </c>
      <c r="O51" s="11">
        <v>195874</v>
      </c>
      <c r="P51" s="14">
        <f t="shared" ca="1" si="0"/>
        <v>0</v>
      </c>
      <c r="Q51" t="s">
        <v>19</v>
      </c>
      <c r="R51" s="16" t="str">
        <f t="shared" ca="1" si="1"/>
        <v/>
      </c>
      <c r="S51" s="7">
        <f t="shared" ca="1" si="2"/>
        <v>321</v>
      </c>
      <c r="T51" t="s">
        <v>24</v>
      </c>
      <c r="U51" s="1">
        <f t="shared" ca="1" si="3"/>
        <v>45869</v>
      </c>
      <c r="V51" s="1" t="str">
        <f t="shared" ca="1" si="4"/>
        <v>No Follow-Up Needed</v>
      </c>
      <c r="W51" t="str">
        <f t="shared" si="5"/>
        <v/>
      </c>
      <c r="X51" t="e" cm="1">
        <f t="array" aca="1" ref="X51" ca="1" xml:space="preserve">
 _xlfn.IFS(S51&lt;=30,"0–30",
 S51&lt;=60,"31–60",
 S51&lt;=120,"61–120",
 TRUE,"120+"
)</f>
        <v>#NAME?</v>
      </c>
      <c r="Y51" s="11">
        <v>0</v>
      </c>
    </row>
    <row r="52" spans="1:25" x14ac:dyDescent="0.2">
      <c r="A52" t="s">
        <v>94</v>
      </c>
      <c r="B52" t="s">
        <v>194</v>
      </c>
      <c r="C52" t="s">
        <v>18</v>
      </c>
      <c r="D52" t="s">
        <v>350</v>
      </c>
      <c r="E52" t="s">
        <v>546</v>
      </c>
      <c r="F52" t="s">
        <v>438</v>
      </c>
      <c r="G52" t="s">
        <v>439</v>
      </c>
      <c r="H52" t="s">
        <v>45</v>
      </c>
      <c r="I52" t="s">
        <v>512</v>
      </c>
      <c r="J52" t="s">
        <v>524</v>
      </c>
      <c r="K52" t="s">
        <v>44</v>
      </c>
      <c r="L52" t="s">
        <v>80</v>
      </c>
      <c r="M52" s="1">
        <v>45700</v>
      </c>
      <c r="N52" s="1">
        <v>45703</v>
      </c>
      <c r="O52" s="11">
        <v>124575</v>
      </c>
      <c r="P52" s="14">
        <f t="shared" ca="1" si="0"/>
        <v>0</v>
      </c>
      <c r="Q52" t="s">
        <v>19</v>
      </c>
      <c r="R52" s="16" t="str">
        <f t="shared" ca="1" si="1"/>
        <v/>
      </c>
      <c r="S52" s="7">
        <f t="shared" ca="1" si="2"/>
        <v>354</v>
      </c>
      <c r="T52" t="s">
        <v>16</v>
      </c>
      <c r="U52" s="1">
        <f t="shared" ca="1" si="3"/>
        <v>45865</v>
      </c>
      <c r="V52" s="1" t="str">
        <f t="shared" ca="1" si="4"/>
        <v>No Follow-Up Needed</v>
      </c>
      <c r="W52" t="str">
        <f t="shared" si="5"/>
        <v/>
      </c>
      <c r="X52" t="e" cm="1">
        <f t="array" aca="1" ref="X52" ca="1" xml:space="preserve">
 _xlfn.IFS(S52&lt;=30,"0–30",
 S52&lt;=60,"31–60",
 S52&lt;=120,"61–120",
 TRUE,"120+"
)</f>
        <v>#NAME?</v>
      </c>
      <c r="Y52" s="11">
        <v>0</v>
      </c>
    </row>
    <row r="53" spans="1:25" x14ac:dyDescent="0.2">
      <c r="A53" t="s">
        <v>95</v>
      </c>
      <c r="B53" t="s">
        <v>195</v>
      </c>
      <c r="C53" t="s">
        <v>13</v>
      </c>
      <c r="D53" t="s">
        <v>349</v>
      </c>
      <c r="E53" t="s">
        <v>547</v>
      </c>
      <c r="F53" t="s">
        <v>427</v>
      </c>
      <c r="G53" t="s">
        <v>428</v>
      </c>
      <c r="H53" t="s">
        <v>45</v>
      </c>
      <c r="I53" t="s">
        <v>512</v>
      </c>
      <c r="J53" t="s">
        <v>524</v>
      </c>
      <c r="K53" t="s">
        <v>47</v>
      </c>
      <c r="L53" t="s">
        <v>52</v>
      </c>
      <c r="M53" s="1">
        <v>45757</v>
      </c>
      <c r="N53" s="1">
        <v>45782</v>
      </c>
      <c r="O53" s="11">
        <v>109840</v>
      </c>
      <c r="P53" s="14">
        <f t="shared" ca="1" si="0"/>
        <v>0</v>
      </c>
      <c r="Q53" t="s">
        <v>19</v>
      </c>
      <c r="R53" s="16" t="str">
        <f t="shared" ca="1" si="1"/>
        <v/>
      </c>
      <c r="S53" s="7">
        <f t="shared" ca="1" si="2"/>
        <v>275</v>
      </c>
      <c r="T53" t="s">
        <v>16</v>
      </c>
      <c r="U53" s="1">
        <f t="shared" ca="1" si="3"/>
        <v>45919</v>
      </c>
      <c r="V53" s="1" t="str">
        <f t="shared" ca="1" si="4"/>
        <v>No Follow-Up Needed</v>
      </c>
      <c r="W53" t="str">
        <f t="shared" si="5"/>
        <v/>
      </c>
      <c r="X53" t="e" cm="1">
        <f t="array" aca="1" ref="X53" ca="1" xml:space="preserve">
 _xlfn.IFS(S53&lt;=30,"0–30",
 S53&lt;=60,"31–60",
 S53&lt;=120,"61–120",
 TRUE,"120+"
)</f>
        <v>#NAME?</v>
      </c>
      <c r="Y53" s="11">
        <v>0</v>
      </c>
    </row>
    <row r="54" spans="1:25" x14ac:dyDescent="0.2">
      <c r="A54" t="s">
        <v>96</v>
      </c>
      <c r="B54" t="s">
        <v>196</v>
      </c>
      <c r="C54" t="s">
        <v>22</v>
      </c>
      <c r="D54" t="s">
        <v>348</v>
      </c>
      <c r="E54" t="s">
        <v>546</v>
      </c>
      <c r="F54" t="s">
        <v>449</v>
      </c>
      <c r="G54" t="s">
        <v>450</v>
      </c>
      <c r="H54" t="s">
        <v>41</v>
      </c>
      <c r="I54" t="s">
        <v>510</v>
      </c>
      <c r="J54" t="s">
        <v>534</v>
      </c>
      <c r="K54" t="s">
        <v>80</v>
      </c>
      <c r="L54" t="s">
        <v>64</v>
      </c>
      <c r="M54" s="1">
        <v>45741</v>
      </c>
      <c r="N54" s="1">
        <v>45745</v>
      </c>
      <c r="O54" s="11">
        <v>50266</v>
      </c>
      <c r="P54" s="14">
        <f t="shared" ca="1" si="0"/>
        <v>0</v>
      </c>
      <c r="Q54" t="s">
        <v>27</v>
      </c>
      <c r="R54" s="16" t="str">
        <f t="shared" ca="1" si="1"/>
        <v/>
      </c>
      <c r="S54" s="7">
        <f t="shared" ca="1" si="2"/>
        <v>312</v>
      </c>
      <c r="T54" t="s">
        <v>16</v>
      </c>
      <c r="U54" s="1">
        <f t="shared" ca="1" si="3"/>
        <v>45963</v>
      </c>
      <c r="V54" s="1" t="str">
        <f t="shared" ca="1" si="4"/>
        <v>Overdue</v>
      </c>
      <c r="W54" t="str">
        <f t="shared" si="5"/>
        <v/>
      </c>
      <c r="X54" t="e" cm="1">
        <f t="array" aca="1" ref="X54" ca="1" xml:space="preserve">
 _xlfn.IFS(S54&lt;=30,"0–30",
 S54&lt;=60,"31–60",
 S54&lt;=120,"61–120",
 TRUE,"120+"
)</f>
        <v>#NAME?</v>
      </c>
      <c r="Y54" s="11">
        <v>0</v>
      </c>
    </row>
    <row r="55" spans="1:25" x14ac:dyDescent="0.2">
      <c r="A55" t="s">
        <v>97</v>
      </c>
      <c r="B55" t="s">
        <v>197</v>
      </c>
      <c r="C55" t="s">
        <v>22</v>
      </c>
      <c r="D55" t="s">
        <v>347</v>
      </c>
      <c r="E55" t="s">
        <v>546</v>
      </c>
      <c r="F55" t="s">
        <v>449</v>
      </c>
      <c r="G55" t="s">
        <v>450</v>
      </c>
      <c r="H55" t="s">
        <v>41</v>
      </c>
      <c r="I55" t="s">
        <v>506</v>
      </c>
      <c r="J55" t="s">
        <v>530</v>
      </c>
      <c r="K55" t="s">
        <v>42</v>
      </c>
      <c r="L55" t="s">
        <v>47</v>
      </c>
      <c r="M55" s="1">
        <v>45970</v>
      </c>
      <c r="N55" s="1">
        <v>45980</v>
      </c>
      <c r="O55" s="11">
        <v>55379</v>
      </c>
      <c r="P55" s="14">
        <f t="shared" ca="1" si="0"/>
        <v>23259</v>
      </c>
      <c r="Q55" t="s">
        <v>23</v>
      </c>
      <c r="R55" s="16">
        <f t="shared" ca="1" si="1"/>
        <v>0.4199967496704527</v>
      </c>
      <c r="S55" s="7">
        <f t="shared" ca="1" si="2"/>
        <v>77</v>
      </c>
      <c r="T55" t="s">
        <v>24</v>
      </c>
      <c r="U55" s="1">
        <f t="shared" ca="1" si="3"/>
        <v>46037</v>
      </c>
      <c r="V55" s="1" t="str">
        <f t="shared" ca="1" si="4"/>
        <v>Overdue</v>
      </c>
      <c r="W55" t="str">
        <f t="shared" si="5"/>
        <v/>
      </c>
      <c r="X55" t="e" cm="1">
        <f t="array" aca="1" ref="X55" ca="1" xml:space="preserve">
 _xlfn.IFS(S55&lt;=30,"0–30",
 S55&lt;=60,"31–60",
 S55&lt;=120,"61–120",
 TRUE,"120+"
)</f>
        <v>#NAME?</v>
      </c>
      <c r="Y55" s="11">
        <v>0</v>
      </c>
    </row>
    <row r="56" spans="1:25" x14ac:dyDescent="0.2">
      <c r="A56" t="s">
        <v>98</v>
      </c>
      <c r="B56" t="s">
        <v>198</v>
      </c>
      <c r="C56" t="s">
        <v>22</v>
      </c>
      <c r="D56" t="s">
        <v>346</v>
      </c>
      <c r="E56" t="s">
        <v>546</v>
      </c>
      <c r="F56" t="s">
        <v>449</v>
      </c>
      <c r="G56" t="s">
        <v>450</v>
      </c>
      <c r="H56" t="s">
        <v>43</v>
      </c>
      <c r="I56" t="s">
        <v>514</v>
      </c>
      <c r="J56" t="s">
        <v>537</v>
      </c>
      <c r="K56" t="s">
        <v>40</v>
      </c>
      <c r="L56" t="s">
        <v>55</v>
      </c>
      <c r="M56" s="1">
        <v>45811</v>
      </c>
      <c r="N56" s="1">
        <v>45819</v>
      </c>
      <c r="O56" s="11">
        <v>24113</v>
      </c>
      <c r="P56" s="14">
        <f t="shared" ca="1" si="0"/>
        <v>0</v>
      </c>
      <c r="Q56" t="s">
        <v>19</v>
      </c>
      <c r="R56" s="16" t="str">
        <f t="shared" ca="1" si="1"/>
        <v/>
      </c>
      <c r="S56" s="7">
        <f t="shared" ca="1" si="2"/>
        <v>238</v>
      </c>
      <c r="T56" t="s">
        <v>24</v>
      </c>
      <c r="U56" s="1">
        <f t="shared" ca="1" si="3"/>
        <v>46014</v>
      </c>
      <c r="V56" s="1" t="str">
        <f t="shared" ca="1" si="4"/>
        <v>No Follow-Up Needed</v>
      </c>
      <c r="W56" t="str">
        <f t="shared" si="5"/>
        <v/>
      </c>
      <c r="X56" t="e" cm="1">
        <f t="array" aca="1" ref="X56" ca="1" xml:space="preserve">
 _xlfn.IFS(S56&lt;=30,"0–30",
 S56&lt;=60,"31–60",
 S56&lt;=120,"61–120",
 TRUE,"120+"
)</f>
        <v>#NAME?</v>
      </c>
      <c r="Y56" s="11">
        <v>0</v>
      </c>
    </row>
    <row r="57" spans="1:25" x14ac:dyDescent="0.2">
      <c r="A57" t="s">
        <v>99</v>
      </c>
      <c r="B57" t="s">
        <v>199</v>
      </c>
      <c r="C57" t="s">
        <v>18</v>
      </c>
      <c r="D57" t="s">
        <v>345</v>
      </c>
      <c r="E57" t="s">
        <v>546</v>
      </c>
      <c r="F57" t="s">
        <v>438</v>
      </c>
      <c r="G57" t="s">
        <v>439</v>
      </c>
      <c r="H57" t="s">
        <v>43</v>
      </c>
      <c r="I57" t="s">
        <v>500</v>
      </c>
      <c r="J57" t="s">
        <v>522</v>
      </c>
      <c r="K57" t="s">
        <v>44</v>
      </c>
      <c r="L57" t="s">
        <v>44</v>
      </c>
      <c r="M57" s="1">
        <v>45742</v>
      </c>
      <c r="N57" s="1">
        <v>45762</v>
      </c>
      <c r="O57" s="11">
        <v>169506</v>
      </c>
      <c r="P57" s="14">
        <f t="shared" ca="1" si="0"/>
        <v>0</v>
      </c>
      <c r="Q57" t="s">
        <v>27</v>
      </c>
      <c r="R57" s="16" t="str">
        <f t="shared" ca="1" si="1"/>
        <v/>
      </c>
      <c r="S57" s="7">
        <f t="shared" ca="1" si="2"/>
        <v>295</v>
      </c>
      <c r="T57" t="s">
        <v>16</v>
      </c>
      <c r="U57" s="1">
        <f t="shared" ca="1" si="3"/>
        <v>45861</v>
      </c>
      <c r="V57" s="1" t="str">
        <f t="shared" ca="1" si="4"/>
        <v>Overdue</v>
      </c>
      <c r="W57" t="str">
        <f t="shared" si="5"/>
        <v/>
      </c>
      <c r="X57" t="e" cm="1">
        <f t="array" aca="1" ref="X57" ca="1" xml:space="preserve">
 _xlfn.IFS(S57&lt;=30,"0–30",
 S57&lt;=60,"31–60",
 S57&lt;=120,"61–120",
 TRUE,"120+"
)</f>
        <v>#NAME?</v>
      </c>
      <c r="Y57" s="11">
        <v>0</v>
      </c>
    </row>
    <row r="58" spans="1:25" x14ac:dyDescent="0.2">
      <c r="A58" t="s">
        <v>100</v>
      </c>
      <c r="B58" t="s">
        <v>200</v>
      </c>
      <c r="C58" t="s">
        <v>396</v>
      </c>
      <c r="D58" t="s">
        <v>344</v>
      </c>
      <c r="E58" t="s">
        <v>256</v>
      </c>
      <c r="F58" t="s">
        <v>480</v>
      </c>
      <c r="G58" t="s">
        <v>481</v>
      </c>
      <c r="H58" t="s">
        <v>60</v>
      </c>
      <c r="I58" t="s">
        <v>542</v>
      </c>
      <c r="J58" t="s">
        <v>525</v>
      </c>
      <c r="K58" t="s">
        <v>44</v>
      </c>
      <c r="L58" t="s">
        <v>64</v>
      </c>
      <c r="M58" s="1">
        <v>45918</v>
      </c>
      <c r="N58" s="1">
        <v>45936</v>
      </c>
      <c r="O58" s="11">
        <v>21710</v>
      </c>
      <c r="P58" s="14">
        <f t="shared" ca="1" si="0"/>
        <v>0</v>
      </c>
      <c r="Q58" t="s">
        <v>19</v>
      </c>
      <c r="R58" s="16" t="str">
        <f t="shared" ca="1" si="1"/>
        <v/>
      </c>
      <c r="S58" s="7">
        <f t="shared" ca="1" si="2"/>
        <v>121</v>
      </c>
      <c r="T58" t="s">
        <v>16</v>
      </c>
      <c r="U58" s="1">
        <f t="shared" ca="1" si="3"/>
        <v>46004</v>
      </c>
      <c r="V58" s="1" t="str">
        <f t="shared" ca="1" si="4"/>
        <v>No Follow-Up Needed</v>
      </c>
      <c r="W58" t="str">
        <f t="shared" si="5"/>
        <v/>
      </c>
      <c r="X58" t="e" cm="1">
        <f t="array" aca="1" ref="X58" ca="1" xml:space="preserve">
 _xlfn.IFS(S58&lt;=30,"0–30",
 S58&lt;=60,"31–60",
 S58&lt;=120,"61–120",
 TRUE,"120+"
)</f>
        <v>#NAME?</v>
      </c>
      <c r="Y58" s="11">
        <v>0</v>
      </c>
    </row>
    <row r="59" spans="1:25" x14ac:dyDescent="0.2">
      <c r="A59" t="s">
        <v>101</v>
      </c>
      <c r="B59" t="s">
        <v>201</v>
      </c>
      <c r="C59" t="s">
        <v>31</v>
      </c>
      <c r="D59" t="s">
        <v>343</v>
      </c>
      <c r="E59" t="s">
        <v>546</v>
      </c>
      <c r="F59" t="s">
        <v>470</v>
      </c>
      <c r="G59" t="s">
        <v>31</v>
      </c>
      <c r="H59" t="s">
        <v>43</v>
      </c>
      <c r="I59" t="s">
        <v>503</v>
      </c>
      <c r="J59" t="s">
        <v>527</v>
      </c>
      <c r="K59" t="s">
        <v>44</v>
      </c>
      <c r="L59" t="s">
        <v>52</v>
      </c>
      <c r="M59" s="1">
        <v>45865</v>
      </c>
      <c r="N59" s="1">
        <v>45877</v>
      </c>
      <c r="O59" s="11">
        <v>58816</v>
      </c>
      <c r="P59" s="14">
        <f t="shared" ca="1" si="0"/>
        <v>49994</v>
      </c>
      <c r="Q59" t="s">
        <v>15</v>
      </c>
      <c r="R59" s="16">
        <f t="shared" ca="1" si="1"/>
        <v>0.85000680087051139</v>
      </c>
      <c r="S59" s="7">
        <f t="shared" ca="1" si="2"/>
        <v>180</v>
      </c>
      <c r="T59" t="s">
        <v>24</v>
      </c>
      <c r="U59" s="1">
        <f t="shared" ca="1" si="3"/>
        <v>45893</v>
      </c>
      <c r="V59" s="1" t="str">
        <f t="shared" ca="1" si="4"/>
        <v>No Follow-Up Needed</v>
      </c>
      <c r="W59" t="str">
        <f t="shared" si="5"/>
        <v/>
      </c>
      <c r="X59" t="e" cm="1">
        <f t="array" aca="1" ref="X59" ca="1" xml:space="preserve">
 _xlfn.IFS(S59&lt;=30,"0–30",
 S59&lt;=60,"31–60",
 S59&lt;=120,"61–120",
 TRUE,"120+"
)</f>
        <v>#NAME?</v>
      </c>
      <c r="Y59" s="11">
        <v>0</v>
      </c>
    </row>
    <row r="60" spans="1:25" x14ac:dyDescent="0.2">
      <c r="A60" t="s">
        <v>102</v>
      </c>
      <c r="B60" t="s">
        <v>202</v>
      </c>
      <c r="C60" t="s">
        <v>18</v>
      </c>
      <c r="D60" t="s">
        <v>342</v>
      </c>
      <c r="E60" t="s">
        <v>546</v>
      </c>
      <c r="F60" t="s">
        <v>438</v>
      </c>
      <c r="G60" t="s">
        <v>439</v>
      </c>
      <c r="H60" t="s">
        <v>39</v>
      </c>
      <c r="I60" t="s">
        <v>514</v>
      </c>
      <c r="J60" t="s">
        <v>537</v>
      </c>
      <c r="K60" t="s">
        <v>40</v>
      </c>
      <c r="L60" t="s">
        <v>42</v>
      </c>
      <c r="M60" s="1">
        <v>45755</v>
      </c>
      <c r="N60" s="1">
        <v>45780</v>
      </c>
      <c r="O60" s="11">
        <v>177832</v>
      </c>
      <c r="P60" s="14">
        <f t="shared" ca="1" si="0"/>
        <v>56906</v>
      </c>
      <c r="Q60" t="s">
        <v>23</v>
      </c>
      <c r="R60" s="16">
        <f t="shared" ca="1" si="1"/>
        <v>0.31999865041162445</v>
      </c>
      <c r="S60" s="7">
        <f t="shared" ca="1" si="2"/>
        <v>277</v>
      </c>
      <c r="T60" t="s">
        <v>16</v>
      </c>
      <c r="U60" s="1">
        <f t="shared" ca="1" si="3"/>
        <v>45814</v>
      </c>
      <c r="V60" s="1" t="str">
        <f t="shared" ca="1" si="4"/>
        <v>Overdue</v>
      </c>
      <c r="W60" t="str">
        <f t="shared" si="5"/>
        <v/>
      </c>
      <c r="X60" t="e" cm="1">
        <f t="array" aca="1" ref="X60" ca="1" xml:space="preserve">
 _xlfn.IFS(S60&lt;=30,"0–30",
 S60&lt;=60,"31–60",
 S60&lt;=120,"61–120",
 TRUE,"120+"
)</f>
        <v>#NAME?</v>
      </c>
      <c r="Y60" s="11">
        <v>0</v>
      </c>
    </row>
    <row r="61" spans="1:25" x14ac:dyDescent="0.2">
      <c r="A61" t="s">
        <v>103</v>
      </c>
      <c r="B61" t="s">
        <v>203</v>
      </c>
      <c r="C61" t="s">
        <v>28</v>
      </c>
      <c r="D61" t="s">
        <v>103</v>
      </c>
      <c r="E61" t="s">
        <v>546</v>
      </c>
      <c r="F61" t="s">
        <v>459</v>
      </c>
      <c r="G61" t="s">
        <v>460</v>
      </c>
      <c r="H61" t="s">
        <v>45</v>
      </c>
      <c r="I61" t="s">
        <v>512</v>
      </c>
      <c r="J61" t="s">
        <v>524</v>
      </c>
      <c r="K61" t="s">
        <v>42</v>
      </c>
      <c r="L61" t="s">
        <v>44</v>
      </c>
      <c r="M61" s="1">
        <v>45700</v>
      </c>
      <c r="N61" s="1">
        <v>45707</v>
      </c>
      <c r="O61" s="11">
        <v>186788</v>
      </c>
      <c r="P61" s="14">
        <f t="shared" ca="1" si="0"/>
        <v>52301</v>
      </c>
      <c r="Q61" t="s">
        <v>23</v>
      </c>
      <c r="R61" s="16">
        <f t="shared" ca="1" si="1"/>
        <v>0.28000192731867146</v>
      </c>
      <c r="S61" s="7">
        <f t="shared" ca="1" si="2"/>
        <v>350</v>
      </c>
      <c r="T61" t="s">
        <v>24</v>
      </c>
      <c r="U61" s="1">
        <f t="shared" ca="1" si="3"/>
        <v>45996</v>
      </c>
      <c r="V61" s="1" t="str">
        <f t="shared" ca="1" si="4"/>
        <v>Overdue</v>
      </c>
      <c r="W61" t="str">
        <f t="shared" si="5"/>
        <v/>
      </c>
      <c r="X61" t="e" cm="1">
        <f t="array" aca="1" ref="X61" ca="1" xml:space="preserve">
 _xlfn.IFS(S61&lt;=30,"0–30",
 S61&lt;=60,"31–60",
 S61&lt;=120,"61–120",
 TRUE,"120+"
)</f>
        <v>#NAME?</v>
      </c>
      <c r="Y61" s="11">
        <v>0</v>
      </c>
    </row>
    <row r="62" spans="1:25" x14ac:dyDescent="0.2">
      <c r="A62" t="s">
        <v>104</v>
      </c>
      <c r="B62" t="s">
        <v>204</v>
      </c>
      <c r="C62" t="s">
        <v>28</v>
      </c>
      <c r="D62" t="s">
        <v>104</v>
      </c>
      <c r="E62" t="s">
        <v>546</v>
      </c>
      <c r="F62" t="s">
        <v>459</v>
      </c>
      <c r="G62" t="s">
        <v>460</v>
      </c>
      <c r="H62" t="s">
        <v>60</v>
      </c>
      <c r="I62" t="s">
        <v>542</v>
      </c>
      <c r="J62" t="s">
        <v>525</v>
      </c>
      <c r="K62" t="s">
        <v>55</v>
      </c>
      <c r="L62" t="s">
        <v>64</v>
      </c>
      <c r="M62" s="1">
        <v>45985</v>
      </c>
      <c r="N62" s="1">
        <v>46004</v>
      </c>
      <c r="O62" s="11">
        <v>136876</v>
      </c>
      <c r="P62" s="14">
        <f t="shared" ca="1" si="0"/>
        <v>68438</v>
      </c>
      <c r="Q62" t="s">
        <v>23</v>
      </c>
      <c r="R62" s="16">
        <f t="shared" ca="1" si="1"/>
        <v>0.5</v>
      </c>
      <c r="S62" s="7">
        <f t="shared" ca="1" si="2"/>
        <v>53</v>
      </c>
      <c r="T62" t="s">
        <v>16</v>
      </c>
      <c r="U62" s="1">
        <f t="shared" ca="1" si="3"/>
        <v>46046</v>
      </c>
      <c r="V62" s="1" t="str">
        <f t="shared" ca="1" si="4"/>
        <v>Due Soon</v>
      </c>
      <c r="W62" t="str">
        <f t="shared" si="5"/>
        <v/>
      </c>
      <c r="X62" t="e" cm="1">
        <f t="array" aca="1" ref="X62" ca="1" xml:space="preserve">
 _xlfn.IFS(S62&lt;=30,"0–30",
 S62&lt;=60,"31–60",
 S62&lt;=120,"61–120",
 TRUE,"120+"
)</f>
        <v>#NAME?</v>
      </c>
      <c r="Y62" s="11">
        <v>0</v>
      </c>
    </row>
    <row r="63" spans="1:25" x14ac:dyDescent="0.2">
      <c r="A63" t="s">
        <v>105</v>
      </c>
      <c r="B63" t="s">
        <v>205</v>
      </c>
      <c r="C63" t="s">
        <v>31</v>
      </c>
      <c r="D63" t="s">
        <v>341</v>
      </c>
      <c r="E63" t="s">
        <v>546</v>
      </c>
      <c r="F63" t="s">
        <v>470</v>
      </c>
      <c r="G63" t="s">
        <v>31</v>
      </c>
      <c r="H63" t="s">
        <v>39</v>
      </c>
      <c r="I63" t="s">
        <v>512</v>
      </c>
      <c r="J63" t="s">
        <v>524</v>
      </c>
      <c r="K63" t="s">
        <v>55</v>
      </c>
      <c r="L63" t="s">
        <v>80</v>
      </c>
      <c r="M63" s="1">
        <v>45795</v>
      </c>
      <c r="N63" s="1">
        <v>45814</v>
      </c>
      <c r="O63" s="11">
        <v>45564</v>
      </c>
      <c r="P63" s="14">
        <f t="shared" ca="1" si="0"/>
        <v>0</v>
      </c>
      <c r="Q63" t="s">
        <v>27</v>
      </c>
      <c r="R63" s="16" t="str">
        <f t="shared" ca="1" si="1"/>
        <v/>
      </c>
      <c r="S63" s="7">
        <f t="shared" ca="1" si="2"/>
        <v>243</v>
      </c>
      <c r="T63" t="s">
        <v>16</v>
      </c>
      <c r="U63" s="1">
        <f t="shared" ca="1" si="3"/>
        <v>46004</v>
      </c>
      <c r="V63" s="1" t="str">
        <f t="shared" ca="1" si="4"/>
        <v>Overdue</v>
      </c>
      <c r="W63" t="str">
        <f t="shared" si="5"/>
        <v/>
      </c>
      <c r="X63" t="e" cm="1">
        <f t="array" aca="1" ref="X63" ca="1" xml:space="preserve">
 _xlfn.IFS(S63&lt;=30,"0–30",
 S63&lt;=60,"31–60",
 S63&lt;=120,"61–120",
 TRUE,"120+"
)</f>
        <v>#NAME?</v>
      </c>
      <c r="Y63" s="11">
        <v>0</v>
      </c>
    </row>
    <row r="64" spans="1:25" x14ac:dyDescent="0.2">
      <c r="A64" t="s">
        <v>106</v>
      </c>
      <c r="B64" t="s">
        <v>206</v>
      </c>
      <c r="C64" t="s">
        <v>28</v>
      </c>
      <c r="D64" t="s">
        <v>106</v>
      </c>
      <c r="E64" t="s">
        <v>546</v>
      </c>
      <c r="F64" t="s">
        <v>459</v>
      </c>
      <c r="G64" t="s">
        <v>460</v>
      </c>
      <c r="H64" t="s">
        <v>60</v>
      </c>
      <c r="I64" t="s">
        <v>542</v>
      </c>
      <c r="J64" t="s">
        <v>525</v>
      </c>
      <c r="K64" t="s">
        <v>42</v>
      </c>
      <c r="L64" t="s">
        <v>80</v>
      </c>
      <c r="M64" s="1">
        <v>45932</v>
      </c>
      <c r="N64" s="1">
        <v>45948</v>
      </c>
      <c r="O64" s="11">
        <v>78329</v>
      </c>
      <c r="P64" s="14">
        <f t="shared" ca="1" si="0"/>
        <v>0</v>
      </c>
      <c r="Q64" t="s">
        <v>19</v>
      </c>
      <c r="R64" s="16" t="str">
        <f t="shared" ca="1" si="1"/>
        <v/>
      </c>
      <c r="S64" s="7">
        <f t="shared" ca="1" si="2"/>
        <v>109</v>
      </c>
      <c r="T64" t="s">
        <v>16</v>
      </c>
      <c r="U64" s="1">
        <f t="shared" ca="1" si="3"/>
        <v>46005</v>
      </c>
      <c r="V64" s="1" t="str">
        <f t="shared" ca="1" si="4"/>
        <v>No Follow-Up Needed</v>
      </c>
      <c r="W64" t="str">
        <f t="shared" si="5"/>
        <v/>
      </c>
      <c r="X64" t="e" cm="1">
        <f t="array" aca="1" ref="X64" ca="1" xml:space="preserve">
 _xlfn.IFS(S64&lt;=30,"0–30",
 S64&lt;=60,"31–60",
 S64&lt;=120,"61–120",
 TRUE,"120+"
)</f>
        <v>#NAME?</v>
      </c>
      <c r="Y64" s="11">
        <v>0</v>
      </c>
    </row>
    <row r="65" spans="1:25" x14ac:dyDescent="0.2">
      <c r="A65" t="s">
        <v>107</v>
      </c>
      <c r="B65" t="s">
        <v>207</v>
      </c>
      <c r="C65" t="s">
        <v>396</v>
      </c>
      <c r="D65" t="s">
        <v>340</v>
      </c>
      <c r="E65" t="s">
        <v>256</v>
      </c>
      <c r="F65" t="s">
        <v>480</v>
      </c>
      <c r="G65" t="s">
        <v>481</v>
      </c>
      <c r="H65" t="s">
        <v>39</v>
      </c>
      <c r="I65" t="s">
        <v>497</v>
      </c>
      <c r="J65" t="s">
        <v>519</v>
      </c>
      <c r="K65" t="s">
        <v>40</v>
      </c>
      <c r="L65" t="s">
        <v>47</v>
      </c>
      <c r="M65" s="1">
        <v>45858</v>
      </c>
      <c r="N65" s="1">
        <v>45870</v>
      </c>
      <c r="O65" s="11">
        <v>49087</v>
      </c>
      <c r="P65" s="14">
        <f t="shared" ca="1" si="0"/>
        <v>11290</v>
      </c>
      <c r="Q65" t="s">
        <v>23</v>
      </c>
      <c r="R65" s="16">
        <f t="shared" ca="1" si="1"/>
        <v>0.22999979628007416</v>
      </c>
      <c r="S65" s="7">
        <f t="shared" ca="1" si="2"/>
        <v>187</v>
      </c>
      <c r="T65" t="s">
        <v>24</v>
      </c>
      <c r="U65" s="1">
        <f t="shared" ca="1" si="3"/>
        <v>45888</v>
      </c>
      <c r="V65" s="1" t="str">
        <f t="shared" ca="1" si="4"/>
        <v>Overdue</v>
      </c>
      <c r="W65" t="str">
        <f t="shared" si="5"/>
        <v/>
      </c>
      <c r="X65" t="e" cm="1">
        <f t="array" aca="1" ref="X65" ca="1" xml:space="preserve">
 _xlfn.IFS(S65&lt;=30,"0–30",
 S65&lt;=60,"31–60",
 S65&lt;=120,"61–120",
 TRUE,"120+"
)</f>
        <v>#NAME?</v>
      </c>
      <c r="Y65" s="11">
        <v>0</v>
      </c>
    </row>
    <row r="66" spans="1:25" x14ac:dyDescent="0.2">
      <c r="A66" t="s">
        <v>108</v>
      </c>
      <c r="B66" t="s">
        <v>208</v>
      </c>
      <c r="C66" t="s">
        <v>29</v>
      </c>
      <c r="D66" t="s">
        <v>339</v>
      </c>
      <c r="E66" t="s">
        <v>548</v>
      </c>
      <c r="F66" t="s">
        <v>415</v>
      </c>
      <c r="G66" t="s">
        <v>416</v>
      </c>
      <c r="H66" t="s">
        <v>45</v>
      </c>
      <c r="I66" t="s">
        <v>512</v>
      </c>
      <c r="J66" t="s">
        <v>524</v>
      </c>
      <c r="K66" t="s">
        <v>55</v>
      </c>
      <c r="L66" t="s">
        <v>47</v>
      </c>
      <c r="M66" s="1">
        <v>45785</v>
      </c>
      <c r="N66" s="1">
        <v>45814</v>
      </c>
      <c r="O66" s="11">
        <v>70477</v>
      </c>
      <c r="P66" s="14">
        <f t="shared" ca="1" si="0"/>
        <v>0</v>
      </c>
      <c r="Q66" t="s">
        <v>27</v>
      </c>
      <c r="R66" s="16" t="str">
        <f t="shared" ca="1" si="1"/>
        <v/>
      </c>
      <c r="S66" s="7">
        <f t="shared" ca="1" si="2"/>
        <v>243</v>
      </c>
      <c r="T66" t="s">
        <v>16</v>
      </c>
      <c r="U66" s="1">
        <f t="shared" ca="1" si="3"/>
        <v>45989</v>
      </c>
      <c r="V66" s="1" t="str">
        <f t="shared" ca="1" si="4"/>
        <v>Overdue</v>
      </c>
      <c r="W66" t="str">
        <f t="shared" si="5"/>
        <v/>
      </c>
      <c r="X66" t="e" cm="1">
        <f t="array" aca="1" ref="X66" ca="1" xml:space="preserve">
 _xlfn.IFS(S66&lt;=30,"0–30",
 S66&lt;=60,"31–60",
 S66&lt;=120,"61–120",
 TRUE,"120+"
)</f>
        <v>#NAME?</v>
      </c>
      <c r="Y66" s="11">
        <v>0</v>
      </c>
    </row>
    <row r="67" spans="1:25" x14ac:dyDescent="0.2">
      <c r="A67" t="s">
        <v>109</v>
      </c>
      <c r="B67" t="s">
        <v>209</v>
      </c>
      <c r="C67" t="s">
        <v>396</v>
      </c>
      <c r="D67" t="s">
        <v>338</v>
      </c>
      <c r="E67" t="s">
        <v>256</v>
      </c>
      <c r="F67" t="s">
        <v>480</v>
      </c>
      <c r="G67" t="s">
        <v>481</v>
      </c>
      <c r="H67" t="s">
        <v>60</v>
      </c>
      <c r="I67" t="s">
        <v>542</v>
      </c>
      <c r="J67" t="s">
        <v>525</v>
      </c>
      <c r="K67" t="s">
        <v>47</v>
      </c>
      <c r="L67" t="s">
        <v>40</v>
      </c>
      <c r="M67" s="1">
        <v>45921</v>
      </c>
      <c r="N67" s="1">
        <v>45943</v>
      </c>
      <c r="O67" s="11">
        <v>66719</v>
      </c>
      <c r="P67" s="14">
        <f t="shared" ca="1" si="0"/>
        <v>14011</v>
      </c>
      <c r="Q67" t="s">
        <v>23</v>
      </c>
      <c r="R67" s="16">
        <f t="shared" ca="1" si="1"/>
        <v>0.21000014988234236</v>
      </c>
      <c r="S67" s="7">
        <f t="shared" ca="1" si="2"/>
        <v>114</v>
      </c>
      <c r="T67" t="s">
        <v>24</v>
      </c>
      <c r="U67" s="1">
        <f t="shared" ca="1" si="3"/>
        <v>45992</v>
      </c>
      <c r="V67" s="1" t="str">
        <f t="shared" ca="1" si="4"/>
        <v>Overdue</v>
      </c>
      <c r="W67" t="str">
        <f t="shared" si="5"/>
        <v/>
      </c>
      <c r="X67" t="e" cm="1">
        <f t="array" aca="1" ref="X67" ca="1" xml:space="preserve">
 _xlfn.IFS(S67&lt;=30,"0–30",
 S67&lt;=60,"31–60",
 S67&lt;=120,"61–120",
 TRUE,"120+"
)</f>
        <v>#NAME?</v>
      </c>
      <c r="Y67" s="11">
        <v>0</v>
      </c>
    </row>
    <row r="68" spans="1:25" x14ac:dyDescent="0.2">
      <c r="A68" t="s">
        <v>110</v>
      </c>
      <c r="B68" t="s">
        <v>210</v>
      </c>
      <c r="C68" t="s">
        <v>396</v>
      </c>
      <c r="D68" t="s">
        <v>337</v>
      </c>
      <c r="E68" t="s">
        <v>256</v>
      </c>
      <c r="F68" t="s">
        <v>480</v>
      </c>
      <c r="G68" t="s">
        <v>481</v>
      </c>
      <c r="H68" t="s">
        <v>45</v>
      </c>
      <c r="I68" t="s">
        <v>512</v>
      </c>
      <c r="J68" t="s">
        <v>524</v>
      </c>
      <c r="K68" t="s">
        <v>80</v>
      </c>
      <c r="L68" t="s">
        <v>47</v>
      </c>
      <c r="M68" s="1">
        <v>45940</v>
      </c>
      <c r="N68" s="1">
        <v>45970</v>
      </c>
      <c r="O68" s="11">
        <v>147268</v>
      </c>
      <c r="P68" s="14">
        <f t="shared" ca="1" si="0"/>
        <v>129596</v>
      </c>
      <c r="Q68" t="s">
        <v>15</v>
      </c>
      <c r="R68" s="16">
        <f t="shared" ca="1" si="1"/>
        <v>0.88000108645462694</v>
      </c>
      <c r="S68" s="7">
        <f t="shared" ca="1" si="2"/>
        <v>87</v>
      </c>
      <c r="T68" t="s">
        <v>16</v>
      </c>
      <c r="U68" s="1">
        <f t="shared" ca="1" si="3"/>
        <v>45983</v>
      </c>
      <c r="V68" s="1" t="str">
        <f t="shared" ca="1" si="4"/>
        <v>No Follow-Up Needed</v>
      </c>
      <c r="W68" t="str">
        <f t="shared" si="5"/>
        <v/>
      </c>
      <c r="X68" t="e" cm="1">
        <f t="array" aca="1" ref="X68" ca="1" xml:space="preserve">
 _xlfn.IFS(S68&lt;=30,"0–30",
 S68&lt;=60,"31–60",
 S68&lt;=120,"61–120",
 TRUE,"120+"
)</f>
        <v>#NAME?</v>
      </c>
      <c r="Y68" s="11">
        <v>0</v>
      </c>
    </row>
    <row r="69" spans="1:25" x14ac:dyDescent="0.2">
      <c r="A69" t="s">
        <v>111</v>
      </c>
      <c r="B69" t="s">
        <v>211</v>
      </c>
      <c r="C69" t="s">
        <v>396</v>
      </c>
      <c r="D69" t="s">
        <v>336</v>
      </c>
      <c r="E69" t="s">
        <v>256</v>
      </c>
      <c r="F69" t="s">
        <v>480</v>
      </c>
      <c r="G69" t="s">
        <v>481</v>
      </c>
      <c r="H69" t="s">
        <v>39</v>
      </c>
      <c r="I69" t="s">
        <v>504</v>
      </c>
      <c r="J69" t="s">
        <v>528</v>
      </c>
      <c r="K69" t="s">
        <v>42</v>
      </c>
      <c r="L69" t="s">
        <v>40</v>
      </c>
      <c r="M69" s="1">
        <v>45832</v>
      </c>
      <c r="N69" s="1">
        <v>45846</v>
      </c>
      <c r="O69" s="11">
        <v>70309</v>
      </c>
      <c r="P69" s="14">
        <f t="shared" ca="1" si="0"/>
        <v>0</v>
      </c>
      <c r="Q69" t="s">
        <v>19</v>
      </c>
      <c r="R69" s="16" t="str">
        <f t="shared" ca="1" si="1"/>
        <v/>
      </c>
      <c r="S69" s="7">
        <f t="shared" ca="1" si="2"/>
        <v>211</v>
      </c>
      <c r="T69" t="s">
        <v>24</v>
      </c>
      <c r="U69" s="1">
        <f t="shared" ca="1" si="3"/>
        <v>45984</v>
      </c>
      <c r="V69" s="1" t="str">
        <f t="shared" ca="1" si="4"/>
        <v>No Follow-Up Needed</v>
      </c>
      <c r="W69" t="str">
        <f t="shared" si="5"/>
        <v/>
      </c>
      <c r="X69" t="e" cm="1">
        <f t="array" aca="1" ref="X69" ca="1" xml:space="preserve">
 _xlfn.IFS(S69&lt;=30,"0–30",
 S69&lt;=60,"31–60",
 S69&lt;=120,"61–120",
 TRUE,"120+"
)</f>
        <v>#NAME?</v>
      </c>
      <c r="Y69" s="11">
        <v>0</v>
      </c>
    </row>
    <row r="70" spans="1:25" x14ac:dyDescent="0.2">
      <c r="A70" t="s">
        <v>112</v>
      </c>
      <c r="B70" t="s">
        <v>212</v>
      </c>
      <c r="C70" t="s">
        <v>396</v>
      </c>
      <c r="D70" t="s">
        <v>335</v>
      </c>
      <c r="E70" t="s">
        <v>256</v>
      </c>
      <c r="F70" t="s">
        <v>480</v>
      </c>
      <c r="G70" t="s">
        <v>481</v>
      </c>
      <c r="H70" t="s">
        <v>43</v>
      </c>
      <c r="I70" t="s">
        <v>542</v>
      </c>
      <c r="J70" t="s">
        <v>525</v>
      </c>
      <c r="K70" t="s">
        <v>52</v>
      </c>
      <c r="L70" t="s">
        <v>52</v>
      </c>
      <c r="M70" s="1">
        <v>45950</v>
      </c>
      <c r="N70" s="1">
        <v>45966</v>
      </c>
      <c r="O70" s="11">
        <v>31713</v>
      </c>
      <c r="P70" s="14">
        <f t="shared" ref="P70:P103" ca="1" si="6">IF(Q70="Paid", ROUND(O70*RANDBETWEEN(60,100)/100,0),
 IF(Q70="Pending", ROUND(O70*RANDBETWEEN(0,60)/100,0),
 0))</f>
        <v>0</v>
      </c>
      <c r="Q70" t="s">
        <v>27</v>
      </c>
      <c r="R70" s="16" t="str">
        <f t="shared" ref="R70:R103" ca="1" si="7">IF(P70=0,"",P70/O70)</f>
        <v/>
      </c>
      <c r="S70" s="7">
        <f t="shared" ref="S70:S103" ca="1" si="8">TODAY()-N70</f>
        <v>91</v>
      </c>
      <c r="T70" t="s">
        <v>16</v>
      </c>
      <c r="U70" s="1">
        <f t="shared" ref="U70:U103" ca="1" si="9">N70+RANDBETWEEN(0,MAX(0,TODAY()-N70))</f>
        <v>46022</v>
      </c>
      <c r="V70" s="1" t="str">
        <f t="shared" ref="V70:V103" ca="1" si="10">IF(OR(Q70="Paid",Q70="Denied",W70="Time-Barred"),
    "No Follow-Up Needed",
 IF(TODAY()-U70&gt;14,
    "Overdue",
 IF(TODAY()-U70&gt;10,
    "Due Soon",
    "On Track")))</f>
        <v>Overdue</v>
      </c>
      <c r="W70" t="str">
        <f t="shared" ref="W70:W103" si="11">IF(
  AND(OR(C70="HUBG",C70="XPO",C70="RXO",C70="FEDEX"), _xlfn.DAYS(N70,M70)&gt;60),
  "Time-Barred",
  IF(
    AND(OR(C70="JBHUNT",C70="BNSF",C70="Pulse"), _xlfn.DAYS(M70,N70)&gt;120),
    "Time-Barred",
    ""
  )
)</f>
        <v/>
      </c>
      <c r="X70" t="e" cm="1">
        <f t="array" aca="1" ref="X70" ca="1" xml:space="preserve">
 _xlfn.IFS(S70&lt;=30,"0–30",
 S70&lt;=60,"31–60",
 S70&lt;=120,"61–120",
 TRUE,"120+"
)</f>
        <v>#NAME?</v>
      </c>
      <c r="Y70" s="11">
        <v>0</v>
      </c>
    </row>
    <row r="71" spans="1:25" x14ac:dyDescent="0.2">
      <c r="A71" t="s">
        <v>113</v>
      </c>
      <c r="B71" t="s">
        <v>213</v>
      </c>
      <c r="C71" t="s">
        <v>31</v>
      </c>
      <c r="D71" t="s">
        <v>334</v>
      </c>
      <c r="E71" t="s">
        <v>546</v>
      </c>
      <c r="F71" t="s">
        <v>470</v>
      </c>
      <c r="G71" t="s">
        <v>31</v>
      </c>
      <c r="H71" t="s">
        <v>45</v>
      </c>
      <c r="I71" t="s">
        <v>512</v>
      </c>
      <c r="J71" t="s">
        <v>524</v>
      </c>
      <c r="K71" t="s">
        <v>52</v>
      </c>
      <c r="L71" t="s">
        <v>44</v>
      </c>
      <c r="M71" s="1">
        <v>45758</v>
      </c>
      <c r="N71" s="1">
        <v>45777</v>
      </c>
      <c r="O71" s="11">
        <v>114626</v>
      </c>
      <c r="P71" s="14">
        <f t="shared" ca="1" si="6"/>
        <v>0</v>
      </c>
      <c r="Q71" t="s">
        <v>27</v>
      </c>
      <c r="R71" s="16" t="str">
        <f t="shared" ca="1" si="7"/>
        <v/>
      </c>
      <c r="S71" s="7">
        <f t="shared" ca="1" si="8"/>
        <v>280</v>
      </c>
      <c r="T71" t="s">
        <v>16</v>
      </c>
      <c r="U71" s="1">
        <f t="shared" ca="1" si="9"/>
        <v>45857</v>
      </c>
      <c r="V71" s="1" t="str">
        <f t="shared" ca="1" si="10"/>
        <v>Overdue</v>
      </c>
      <c r="W71" t="str">
        <f t="shared" si="11"/>
        <v/>
      </c>
      <c r="X71" t="e" cm="1">
        <f t="array" aca="1" ref="X71" ca="1" xml:space="preserve">
 _xlfn.IFS(S71&lt;=30,"0–30",
 S71&lt;=60,"31–60",
 S71&lt;=120,"61–120",
 TRUE,"120+"
)</f>
        <v>#NAME?</v>
      </c>
      <c r="Y71" s="11">
        <v>0</v>
      </c>
    </row>
    <row r="72" spans="1:25" x14ac:dyDescent="0.2">
      <c r="A72" t="s">
        <v>114</v>
      </c>
      <c r="B72" t="s">
        <v>214</v>
      </c>
      <c r="C72" t="s">
        <v>28</v>
      </c>
      <c r="D72" t="s">
        <v>114</v>
      </c>
      <c r="E72" t="s">
        <v>546</v>
      </c>
      <c r="F72" t="s">
        <v>459</v>
      </c>
      <c r="G72" t="s">
        <v>460</v>
      </c>
      <c r="H72" t="s">
        <v>39</v>
      </c>
      <c r="I72" t="s">
        <v>505</v>
      </c>
      <c r="J72" t="s">
        <v>529</v>
      </c>
      <c r="K72" t="s">
        <v>52</v>
      </c>
      <c r="L72" t="s">
        <v>47</v>
      </c>
      <c r="M72" s="1">
        <v>45896</v>
      </c>
      <c r="N72" s="1">
        <v>45908</v>
      </c>
      <c r="O72" s="11">
        <v>158804</v>
      </c>
      <c r="P72" s="14">
        <f t="shared" ca="1" si="6"/>
        <v>0</v>
      </c>
      <c r="Q72" t="s">
        <v>19</v>
      </c>
      <c r="R72" s="16" t="str">
        <f t="shared" ca="1" si="7"/>
        <v/>
      </c>
      <c r="S72" s="7">
        <f t="shared" ca="1" si="8"/>
        <v>149</v>
      </c>
      <c r="T72" t="s">
        <v>16</v>
      </c>
      <c r="U72" s="1">
        <f t="shared" ca="1" si="9"/>
        <v>45940</v>
      </c>
      <c r="V72" s="1" t="str">
        <f t="shared" ca="1" si="10"/>
        <v>No Follow-Up Needed</v>
      </c>
      <c r="W72" t="str">
        <f t="shared" si="11"/>
        <v/>
      </c>
      <c r="X72" t="e" cm="1">
        <f t="array" aca="1" ref="X72" ca="1" xml:space="preserve">
 _xlfn.IFS(S72&lt;=30,"0–30",
 S72&lt;=60,"31–60",
 S72&lt;=120,"61–120",
 TRUE,"120+"
)</f>
        <v>#NAME?</v>
      </c>
      <c r="Y72" s="11">
        <v>0</v>
      </c>
    </row>
    <row r="73" spans="1:25" x14ac:dyDescent="0.2">
      <c r="A73" t="s">
        <v>115</v>
      </c>
      <c r="B73" t="s">
        <v>215</v>
      </c>
      <c r="C73" t="s">
        <v>29</v>
      </c>
      <c r="D73" t="s">
        <v>333</v>
      </c>
      <c r="E73" t="s">
        <v>548</v>
      </c>
      <c r="F73" t="s">
        <v>415</v>
      </c>
      <c r="G73" t="s">
        <v>416</v>
      </c>
      <c r="H73" t="s">
        <v>14</v>
      </c>
      <c r="I73" t="s">
        <v>503</v>
      </c>
      <c r="J73" t="s">
        <v>527</v>
      </c>
      <c r="K73" t="s">
        <v>80</v>
      </c>
      <c r="L73" t="s">
        <v>47</v>
      </c>
      <c r="M73" s="1">
        <v>45784</v>
      </c>
      <c r="N73" s="1">
        <v>45806</v>
      </c>
      <c r="O73" s="11">
        <v>194496</v>
      </c>
      <c r="P73" s="14">
        <f t="shared" ca="1" si="6"/>
        <v>0</v>
      </c>
      <c r="Q73" t="s">
        <v>19</v>
      </c>
      <c r="R73" s="16" t="str">
        <f t="shared" ca="1" si="7"/>
        <v/>
      </c>
      <c r="S73" s="7">
        <f t="shared" ca="1" si="8"/>
        <v>251</v>
      </c>
      <c r="T73" t="s">
        <v>24</v>
      </c>
      <c r="U73" s="1">
        <f t="shared" ca="1" si="9"/>
        <v>45825</v>
      </c>
      <c r="V73" s="1" t="str">
        <f t="shared" ca="1" si="10"/>
        <v>No Follow-Up Needed</v>
      </c>
      <c r="W73" t="str">
        <f t="shared" si="11"/>
        <v/>
      </c>
      <c r="X73" t="e" cm="1">
        <f t="array" aca="1" ref="X73" ca="1" xml:space="preserve">
 _xlfn.IFS(S73&lt;=30,"0–30",
 S73&lt;=60,"31–60",
 S73&lt;=120,"61–120",
 TRUE,"120+"
)</f>
        <v>#NAME?</v>
      </c>
      <c r="Y73" s="11">
        <v>0</v>
      </c>
    </row>
    <row r="74" spans="1:25" x14ac:dyDescent="0.2">
      <c r="A74" t="s">
        <v>116</v>
      </c>
      <c r="B74" t="s">
        <v>216</v>
      </c>
      <c r="C74" t="s">
        <v>18</v>
      </c>
      <c r="D74" t="s">
        <v>332</v>
      </c>
      <c r="E74" t="s">
        <v>546</v>
      </c>
      <c r="F74" t="s">
        <v>438</v>
      </c>
      <c r="G74" t="s">
        <v>439</v>
      </c>
      <c r="H74" t="s">
        <v>41</v>
      </c>
      <c r="I74" t="s">
        <v>506</v>
      </c>
      <c r="J74" t="s">
        <v>530</v>
      </c>
      <c r="K74" t="s">
        <v>47</v>
      </c>
      <c r="L74" t="s">
        <v>42</v>
      </c>
      <c r="M74" s="1">
        <v>45931</v>
      </c>
      <c r="N74" s="1">
        <v>45954</v>
      </c>
      <c r="O74" s="11">
        <v>132542</v>
      </c>
      <c r="P74" s="14">
        <f t="shared" ca="1" si="6"/>
        <v>14580</v>
      </c>
      <c r="Q74" t="s">
        <v>23</v>
      </c>
      <c r="R74" s="16">
        <f t="shared" ca="1" si="7"/>
        <v>0.1100028670157384</v>
      </c>
      <c r="S74" s="7">
        <f t="shared" ca="1" si="8"/>
        <v>103</v>
      </c>
      <c r="T74" t="s">
        <v>16</v>
      </c>
      <c r="U74" s="1">
        <f t="shared" ca="1" si="9"/>
        <v>45964</v>
      </c>
      <c r="V74" s="1" t="str">
        <f t="shared" ca="1" si="10"/>
        <v>Overdue</v>
      </c>
      <c r="W74" t="str">
        <f t="shared" si="11"/>
        <v/>
      </c>
      <c r="X74" t="e" cm="1">
        <f t="array" aca="1" ref="X74" ca="1" xml:space="preserve">
 _xlfn.IFS(S74&lt;=30,"0–30",
 S74&lt;=60,"31–60",
 S74&lt;=120,"61–120",
 TRUE,"120+"
)</f>
        <v>#NAME?</v>
      </c>
      <c r="Y74" s="11">
        <v>0</v>
      </c>
    </row>
    <row r="75" spans="1:25" x14ac:dyDescent="0.2">
      <c r="A75" t="s">
        <v>117</v>
      </c>
      <c r="B75" t="s">
        <v>217</v>
      </c>
      <c r="C75" t="s">
        <v>29</v>
      </c>
      <c r="D75" t="s">
        <v>331</v>
      </c>
      <c r="E75" t="s">
        <v>548</v>
      </c>
      <c r="F75" t="s">
        <v>415</v>
      </c>
      <c r="G75" t="s">
        <v>416</v>
      </c>
      <c r="H75" t="s">
        <v>14</v>
      </c>
      <c r="I75" t="s">
        <v>511</v>
      </c>
      <c r="J75" t="s">
        <v>535</v>
      </c>
      <c r="K75" t="s">
        <v>40</v>
      </c>
      <c r="L75" t="s">
        <v>44</v>
      </c>
      <c r="M75" s="1">
        <v>45927</v>
      </c>
      <c r="N75" s="1">
        <v>45933</v>
      </c>
      <c r="O75" s="11">
        <v>53113</v>
      </c>
      <c r="P75" s="14">
        <f t="shared" ca="1" si="6"/>
        <v>0</v>
      </c>
      <c r="Q75" t="s">
        <v>27</v>
      </c>
      <c r="R75" s="16" t="str">
        <f t="shared" ca="1" si="7"/>
        <v/>
      </c>
      <c r="S75" s="7">
        <f t="shared" ca="1" si="8"/>
        <v>124</v>
      </c>
      <c r="T75" t="s">
        <v>24</v>
      </c>
      <c r="U75" s="1">
        <f t="shared" ca="1" si="9"/>
        <v>45936</v>
      </c>
      <c r="V75" s="1" t="str">
        <f t="shared" ca="1" si="10"/>
        <v>Overdue</v>
      </c>
      <c r="W75" t="str">
        <f t="shared" si="11"/>
        <v/>
      </c>
      <c r="X75" t="e" cm="1">
        <f t="array" aca="1" ref="X75" ca="1" xml:space="preserve">
 _xlfn.IFS(S75&lt;=30,"0–30",
 S75&lt;=60,"31–60",
 S75&lt;=120,"61–120",
 TRUE,"120+"
)</f>
        <v>#NAME?</v>
      </c>
      <c r="Y75" s="11">
        <v>0</v>
      </c>
    </row>
    <row r="76" spans="1:25" x14ac:dyDescent="0.2">
      <c r="A76" t="s">
        <v>118</v>
      </c>
      <c r="B76" t="s">
        <v>218</v>
      </c>
      <c r="C76" t="s">
        <v>13</v>
      </c>
      <c r="D76" t="s">
        <v>330</v>
      </c>
      <c r="E76" t="s">
        <v>547</v>
      </c>
      <c r="F76" t="s">
        <v>427</v>
      </c>
      <c r="G76" t="s">
        <v>428</v>
      </c>
      <c r="H76" t="s">
        <v>41</v>
      </c>
      <c r="I76" t="s">
        <v>516</v>
      </c>
      <c r="J76" t="s">
        <v>539</v>
      </c>
      <c r="K76" t="s">
        <v>47</v>
      </c>
      <c r="L76" t="s">
        <v>42</v>
      </c>
      <c r="M76" s="1">
        <v>45810</v>
      </c>
      <c r="N76" s="1">
        <v>45816</v>
      </c>
      <c r="O76" s="11">
        <v>123325</v>
      </c>
      <c r="P76" s="14">
        <f t="shared" ca="1" si="6"/>
        <v>0</v>
      </c>
      <c r="Q76" t="s">
        <v>19</v>
      </c>
      <c r="R76" s="16" t="str">
        <f t="shared" ca="1" si="7"/>
        <v/>
      </c>
      <c r="S76" s="7">
        <f t="shared" ca="1" si="8"/>
        <v>241</v>
      </c>
      <c r="T76" t="s">
        <v>16</v>
      </c>
      <c r="U76" s="1">
        <f t="shared" ca="1" si="9"/>
        <v>45840</v>
      </c>
      <c r="V76" s="1" t="str">
        <f t="shared" ca="1" si="10"/>
        <v>No Follow-Up Needed</v>
      </c>
      <c r="W76" t="str">
        <f t="shared" si="11"/>
        <v/>
      </c>
      <c r="X76" t="e" cm="1">
        <f t="array" aca="1" ref="X76" ca="1" xml:space="preserve">
 _xlfn.IFS(S76&lt;=30,"0–30",
 S76&lt;=60,"31–60",
 S76&lt;=120,"61–120",
 TRUE,"120+"
)</f>
        <v>#NAME?</v>
      </c>
      <c r="Y76" s="11">
        <v>0</v>
      </c>
    </row>
    <row r="77" spans="1:25" x14ac:dyDescent="0.2">
      <c r="A77" t="s">
        <v>119</v>
      </c>
      <c r="B77" t="s">
        <v>219</v>
      </c>
      <c r="C77" t="s">
        <v>13</v>
      </c>
      <c r="D77" t="s">
        <v>329</v>
      </c>
      <c r="E77" t="s">
        <v>547</v>
      </c>
      <c r="F77" t="s">
        <v>427</v>
      </c>
      <c r="G77" t="s">
        <v>428</v>
      </c>
      <c r="H77" t="s">
        <v>14</v>
      </c>
      <c r="I77" t="s">
        <v>502</v>
      </c>
      <c r="J77" t="s">
        <v>526</v>
      </c>
      <c r="K77" t="s">
        <v>55</v>
      </c>
      <c r="L77" t="s">
        <v>47</v>
      </c>
      <c r="M77" s="1">
        <v>45862</v>
      </c>
      <c r="N77" s="1">
        <v>45872</v>
      </c>
      <c r="O77" s="11">
        <v>71262</v>
      </c>
      <c r="P77" s="14">
        <f t="shared" ca="1" si="6"/>
        <v>13540</v>
      </c>
      <c r="Q77" t="s">
        <v>23</v>
      </c>
      <c r="R77" s="16">
        <f t="shared" ca="1" si="7"/>
        <v>0.19000308719934889</v>
      </c>
      <c r="S77" s="7">
        <f t="shared" ca="1" si="8"/>
        <v>185</v>
      </c>
      <c r="T77" t="s">
        <v>16</v>
      </c>
      <c r="U77" s="1">
        <f t="shared" ca="1" si="9"/>
        <v>45922</v>
      </c>
      <c r="V77" s="1" t="str">
        <f t="shared" ca="1" si="10"/>
        <v>Overdue</v>
      </c>
      <c r="W77" t="str">
        <f t="shared" si="11"/>
        <v/>
      </c>
      <c r="X77" t="e" cm="1">
        <f t="array" aca="1" ref="X77" ca="1" xml:space="preserve">
 _xlfn.IFS(S77&lt;=30,"0–30",
 S77&lt;=60,"31–60",
 S77&lt;=120,"61–120",
 TRUE,"120+"
)</f>
        <v>#NAME?</v>
      </c>
      <c r="Y77" s="11">
        <v>0</v>
      </c>
    </row>
    <row r="78" spans="1:25" x14ac:dyDescent="0.2">
      <c r="A78" t="s">
        <v>120</v>
      </c>
      <c r="B78" t="s">
        <v>220</v>
      </c>
      <c r="C78" t="s">
        <v>31</v>
      </c>
      <c r="D78" t="s">
        <v>328</v>
      </c>
      <c r="E78" t="s">
        <v>546</v>
      </c>
      <c r="F78" t="s">
        <v>470</v>
      </c>
      <c r="G78" t="s">
        <v>31</v>
      </c>
      <c r="H78" t="s">
        <v>45</v>
      </c>
      <c r="I78" t="s">
        <v>512</v>
      </c>
      <c r="J78" t="s">
        <v>524</v>
      </c>
      <c r="K78" t="s">
        <v>55</v>
      </c>
      <c r="L78" t="s">
        <v>64</v>
      </c>
      <c r="M78" s="1">
        <v>45798</v>
      </c>
      <c r="N78" s="1">
        <v>45816</v>
      </c>
      <c r="O78" s="11">
        <v>134335</v>
      </c>
      <c r="P78" s="14">
        <f t="shared" ca="1" si="6"/>
        <v>0</v>
      </c>
      <c r="Q78" t="s">
        <v>27</v>
      </c>
      <c r="R78" s="16" t="str">
        <f t="shared" ca="1" si="7"/>
        <v/>
      </c>
      <c r="S78" s="7">
        <f t="shared" ca="1" si="8"/>
        <v>241</v>
      </c>
      <c r="T78" t="s">
        <v>16</v>
      </c>
      <c r="U78" s="1">
        <f t="shared" ca="1" si="9"/>
        <v>45862</v>
      </c>
      <c r="V78" s="1" t="str">
        <f t="shared" ca="1" si="10"/>
        <v>Overdue</v>
      </c>
      <c r="W78" t="str">
        <f t="shared" si="11"/>
        <v/>
      </c>
      <c r="X78" t="e" cm="1">
        <f t="array" aca="1" ref="X78" ca="1" xml:space="preserve">
 _xlfn.IFS(S78&lt;=30,"0–30",
 S78&lt;=60,"31–60",
 S78&lt;=120,"61–120",
 TRUE,"120+"
)</f>
        <v>#NAME?</v>
      </c>
      <c r="Y78" s="11">
        <v>0</v>
      </c>
    </row>
    <row r="79" spans="1:25" x14ac:dyDescent="0.2">
      <c r="A79" t="s">
        <v>121</v>
      </c>
      <c r="B79" t="s">
        <v>221</v>
      </c>
      <c r="C79" t="s">
        <v>18</v>
      </c>
      <c r="D79" t="s">
        <v>327</v>
      </c>
      <c r="E79" t="s">
        <v>546</v>
      </c>
      <c r="F79" t="s">
        <v>438</v>
      </c>
      <c r="G79" t="s">
        <v>439</v>
      </c>
      <c r="H79" t="s">
        <v>41</v>
      </c>
      <c r="I79" t="s">
        <v>508</v>
      </c>
      <c r="J79" t="s">
        <v>532</v>
      </c>
      <c r="K79" t="s">
        <v>64</v>
      </c>
      <c r="L79" t="s">
        <v>52</v>
      </c>
      <c r="M79" s="1">
        <v>45851</v>
      </c>
      <c r="N79" s="1">
        <v>45857</v>
      </c>
      <c r="O79" s="11">
        <v>24456</v>
      </c>
      <c r="P79" s="14">
        <f t="shared" ca="1" si="6"/>
        <v>14429</v>
      </c>
      <c r="Q79" t="s">
        <v>23</v>
      </c>
      <c r="R79" s="16">
        <f t="shared" ca="1" si="7"/>
        <v>0.58999836440955189</v>
      </c>
      <c r="S79" s="7">
        <f t="shared" ca="1" si="8"/>
        <v>200</v>
      </c>
      <c r="T79" t="s">
        <v>24</v>
      </c>
      <c r="U79" s="1">
        <f t="shared" ca="1" si="9"/>
        <v>45995</v>
      </c>
      <c r="V79" s="1" t="str">
        <f t="shared" ca="1" si="10"/>
        <v>Overdue</v>
      </c>
      <c r="W79" t="str">
        <f t="shared" si="11"/>
        <v/>
      </c>
      <c r="X79" t="e" cm="1">
        <f t="array" aca="1" ref="X79" ca="1" xml:space="preserve">
 _xlfn.IFS(S79&lt;=30,"0–30",
 S79&lt;=60,"31–60",
 S79&lt;=120,"61–120",
 TRUE,"120+"
)</f>
        <v>#NAME?</v>
      </c>
      <c r="Y79" s="11">
        <v>0</v>
      </c>
    </row>
    <row r="80" spans="1:25" x14ac:dyDescent="0.2">
      <c r="A80" t="s">
        <v>122</v>
      </c>
      <c r="B80" t="s">
        <v>222</v>
      </c>
      <c r="C80" t="s">
        <v>22</v>
      </c>
      <c r="D80" t="s">
        <v>326</v>
      </c>
      <c r="E80" t="s">
        <v>546</v>
      </c>
      <c r="F80" t="s">
        <v>449</v>
      </c>
      <c r="G80" t="s">
        <v>450</v>
      </c>
      <c r="H80" t="s">
        <v>45</v>
      </c>
      <c r="I80" t="s">
        <v>512</v>
      </c>
      <c r="J80" t="s">
        <v>524</v>
      </c>
      <c r="K80" t="s">
        <v>40</v>
      </c>
      <c r="L80" t="s">
        <v>80</v>
      </c>
      <c r="M80" s="1">
        <v>45746</v>
      </c>
      <c r="N80" s="1">
        <v>45759</v>
      </c>
      <c r="O80" s="11">
        <v>88370</v>
      </c>
      <c r="P80" s="14">
        <f t="shared" ca="1" si="6"/>
        <v>0</v>
      </c>
      <c r="Q80" t="s">
        <v>19</v>
      </c>
      <c r="R80" s="16" t="str">
        <f t="shared" ca="1" si="7"/>
        <v/>
      </c>
      <c r="S80" s="7">
        <f t="shared" ca="1" si="8"/>
        <v>298</v>
      </c>
      <c r="T80" t="s">
        <v>16</v>
      </c>
      <c r="U80" s="1">
        <f t="shared" ca="1" si="9"/>
        <v>46054</v>
      </c>
      <c r="V80" s="1" t="str">
        <f t="shared" ca="1" si="10"/>
        <v>No Follow-Up Needed</v>
      </c>
      <c r="W80" t="str">
        <f t="shared" si="11"/>
        <v/>
      </c>
      <c r="X80" t="e" cm="1">
        <f t="array" aca="1" ref="X80" ca="1" xml:space="preserve">
 _xlfn.IFS(S80&lt;=30,"0–30",
 S80&lt;=60,"31–60",
 S80&lt;=120,"61–120",
 TRUE,"120+"
)</f>
        <v>#NAME?</v>
      </c>
      <c r="Y80" s="11">
        <v>0</v>
      </c>
    </row>
    <row r="81" spans="1:25" x14ac:dyDescent="0.2">
      <c r="A81" t="s">
        <v>123</v>
      </c>
      <c r="B81" t="s">
        <v>223</v>
      </c>
      <c r="C81" t="s">
        <v>396</v>
      </c>
      <c r="D81" t="s">
        <v>325</v>
      </c>
      <c r="E81" t="s">
        <v>256</v>
      </c>
      <c r="F81" t="s">
        <v>480</v>
      </c>
      <c r="G81" t="s">
        <v>481</v>
      </c>
      <c r="H81" t="s">
        <v>45</v>
      </c>
      <c r="I81" t="s">
        <v>512</v>
      </c>
      <c r="J81" t="s">
        <v>524</v>
      </c>
      <c r="K81" t="s">
        <v>64</v>
      </c>
      <c r="L81" t="s">
        <v>52</v>
      </c>
      <c r="M81" s="1">
        <v>45756</v>
      </c>
      <c r="N81" s="1">
        <v>45772</v>
      </c>
      <c r="O81" s="11">
        <v>39370</v>
      </c>
      <c r="P81" s="14">
        <f t="shared" ca="1" si="6"/>
        <v>0</v>
      </c>
      <c r="Q81" t="s">
        <v>27</v>
      </c>
      <c r="R81" s="16" t="str">
        <f t="shared" ca="1" si="7"/>
        <v/>
      </c>
      <c r="S81" s="7">
        <f t="shared" ca="1" si="8"/>
        <v>285</v>
      </c>
      <c r="T81" t="s">
        <v>16</v>
      </c>
      <c r="U81" s="1">
        <f t="shared" ca="1" si="9"/>
        <v>45880</v>
      </c>
      <c r="V81" s="1" t="str">
        <f t="shared" ca="1" si="10"/>
        <v>Overdue</v>
      </c>
      <c r="W81" t="str">
        <f t="shared" si="11"/>
        <v/>
      </c>
      <c r="X81" t="e" cm="1">
        <f t="array" aca="1" ref="X81" ca="1" xml:space="preserve">
 _xlfn.IFS(S81&lt;=30,"0–30",
 S81&lt;=60,"31–60",
 S81&lt;=120,"61–120",
 TRUE,"120+"
)</f>
        <v>#NAME?</v>
      </c>
      <c r="Y81" s="11">
        <v>0</v>
      </c>
    </row>
    <row r="82" spans="1:25" x14ac:dyDescent="0.2">
      <c r="A82" t="s">
        <v>124</v>
      </c>
      <c r="B82" t="s">
        <v>224</v>
      </c>
      <c r="C82" t="s">
        <v>31</v>
      </c>
      <c r="D82" t="s">
        <v>324</v>
      </c>
      <c r="E82" t="s">
        <v>546</v>
      </c>
      <c r="F82" t="s">
        <v>470</v>
      </c>
      <c r="G82" t="s">
        <v>31</v>
      </c>
      <c r="H82" t="s">
        <v>14</v>
      </c>
      <c r="I82" t="s">
        <v>514</v>
      </c>
      <c r="J82" t="s">
        <v>537</v>
      </c>
      <c r="K82" t="s">
        <v>47</v>
      </c>
      <c r="L82" t="s">
        <v>44</v>
      </c>
      <c r="M82" s="1">
        <v>45960</v>
      </c>
      <c r="N82" s="1">
        <v>45972</v>
      </c>
      <c r="O82" s="11">
        <v>62487</v>
      </c>
      <c r="P82" s="14">
        <f t="shared" ca="1" si="6"/>
        <v>19371</v>
      </c>
      <c r="Q82" t="s">
        <v>23</v>
      </c>
      <c r="R82" s="16">
        <f t="shared" ca="1" si="7"/>
        <v>0.31000048009986075</v>
      </c>
      <c r="S82" s="7">
        <f t="shared" ca="1" si="8"/>
        <v>85</v>
      </c>
      <c r="T82" t="s">
        <v>16</v>
      </c>
      <c r="U82" s="1">
        <f t="shared" ca="1" si="9"/>
        <v>46018</v>
      </c>
      <c r="V82" s="1" t="str">
        <f t="shared" ca="1" si="10"/>
        <v>Overdue</v>
      </c>
      <c r="W82" t="str">
        <f t="shared" si="11"/>
        <v/>
      </c>
      <c r="X82" t="e" cm="1">
        <f t="array" aca="1" ref="X82" ca="1" xml:space="preserve">
 _xlfn.IFS(S82&lt;=30,"0–30",
 S82&lt;=60,"31–60",
 S82&lt;=120,"61–120",
 TRUE,"120+"
)</f>
        <v>#NAME?</v>
      </c>
      <c r="Y82" s="11">
        <v>0</v>
      </c>
    </row>
    <row r="83" spans="1:25" x14ac:dyDescent="0.2">
      <c r="A83" t="s">
        <v>125</v>
      </c>
      <c r="B83" t="s">
        <v>225</v>
      </c>
      <c r="C83" t="s">
        <v>29</v>
      </c>
      <c r="D83" t="s">
        <v>323</v>
      </c>
      <c r="E83" t="s">
        <v>548</v>
      </c>
      <c r="F83" t="s">
        <v>415</v>
      </c>
      <c r="G83" t="s">
        <v>416</v>
      </c>
      <c r="H83" t="s">
        <v>41</v>
      </c>
      <c r="I83" t="s">
        <v>516</v>
      </c>
      <c r="J83" t="s">
        <v>539</v>
      </c>
      <c r="K83" t="s">
        <v>64</v>
      </c>
      <c r="L83" t="s">
        <v>55</v>
      </c>
      <c r="M83" s="1">
        <v>45835</v>
      </c>
      <c r="N83" s="1">
        <v>45840</v>
      </c>
      <c r="O83" s="11">
        <v>185640</v>
      </c>
      <c r="P83" s="14">
        <f t="shared" ca="1" si="6"/>
        <v>0</v>
      </c>
      <c r="Q83" t="s">
        <v>19</v>
      </c>
      <c r="R83" s="16" t="str">
        <f t="shared" ca="1" si="7"/>
        <v/>
      </c>
      <c r="S83" s="7">
        <f t="shared" ca="1" si="8"/>
        <v>217</v>
      </c>
      <c r="T83" t="s">
        <v>16</v>
      </c>
      <c r="U83" s="1">
        <f t="shared" ca="1" si="9"/>
        <v>46032</v>
      </c>
      <c r="V83" s="1" t="str">
        <f t="shared" ca="1" si="10"/>
        <v>No Follow-Up Needed</v>
      </c>
      <c r="W83" t="str">
        <f t="shared" si="11"/>
        <v/>
      </c>
      <c r="X83" t="e" cm="1">
        <f t="array" aca="1" ref="X83" ca="1" xml:space="preserve">
 _xlfn.IFS(S83&lt;=30,"0–30",
 S83&lt;=60,"31–60",
 S83&lt;=120,"61–120",
 TRUE,"120+"
)</f>
        <v>#NAME?</v>
      </c>
      <c r="Y83" s="11">
        <v>0</v>
      </c>
    </row>
    <row r="84" spans="1:25" x14ac:dyDescent="0.2">
      <c r="A84" t="s">
        <v>126</v>
      </c>
      <c r="B84" t="s">
        <v>226</v>
      </c>
      <c r="C84" t="s">
        <v>31</v>
      </c>
      <c r="D84" t="s">
        <v>322</v>
      </c>
      <c r="E84" t="s">
        <v>546</v>
      </c>
      <c r="F84" t="s">
        <v>470</v>
      </c>
      <c r="G84" t="s">
        <v>31</v>
      </c>
      <c r="H84" t="s">
        <v>14</v>
      </c>
      <c r="I84" t="s">
        <v>508</v>
      </c>
      <c r="J84" t="s">
        <v>532</v>
      </c>
      <c r="K84" t="s">
        <v>80</v>
      </c>
      <c r="L84" t="s">
        <v>64</v>
      </c>
      <c r="M84" s="1">
        <v>45817</v>
      </c>
      <c r="N84" s="1">
        <v>45825</v>
      </c>
      <c r="O84" s="11">
        <v>61328</v>
      </c>
      <c r="P84" s="14">
        <f t="shared" ca="1" si="6"/>
        <v>39250</v>
      </c>
      <c r="Q84" t="s">
        <v>15</v>
      </c>
      <c r="R84" s="16">
        <f t="shared" ca="1" si="7"/>
        <v>0.64000130446125747</v>
      </c>
      <c r="S84" s="7">
        <f t="shared" ca="1" si="8"/>
        <v>232</v>
      </c>
      <c r="T84" t="s">
        <v>24</v>
      </c>
      <c r="U84" s="1">
        <f t="shared" ca="1" si="9"/>
        <v>45993</v>
      </c>
      <c r="V84" s="1" t="str">
        <f t="shared" ca="1" si="10"/>
        <v>No Follow-Up Needed</v>
      </c>
      <c r="W84" t="str">
        <f t="shared" si="11"/>
        <v/>
      </c>
      <c r="X84" t="e" cm="1">
        <f t="array" aca="1" ref="X84" ca="1" xml:space="preserve">
 _xlfn.IFS(S84&lt;=30,"0–30",
 S84&lt;=60,"31–60",
 S84&lt;=120,"61–120",
 TRUE,"120+"
)</f>
        <v>#NAME?</v>
      </c>
      <c r="Y84" s="11">
        <v>0</v>
      </c>
    </row>
    <row r="85" spans="1:25" x14ac:dyDescent="0.2">
      <c r="A85" t="s">
        <v>127</v>
      </c>
      <c r="B85" t="s">
        <v>227</v>
      </c>
      <c r="C85" t="s">
        <v>28</v>
      </c>
      <c r="D85" t="s">
        <v>127</v>
      </c>
      <c r="E85" t="s">
        <v>546</v>
      </c>
      <c r="F85" t="s">
        <v>459</v>
      </c>
      <c r="G85" t="s">
        <v>460</v>
      </c>
      <c r="H85" t="s">
        <v>43</v>
      </c>
      <c r="I85" t="s">
        <v>502</v>
      </c>
      <c r="J85" t="s">
        <v>526</v>
      </c>
      <c r="K85" t="s">
        <v>40</v>
      </c>
      <c r="L85" t="s">
        <v>44</v>
      </c>
      <c r="M85" s="1">
        <v>45668</v>
      </c>
      <c r="N85" s="1">
        <v>45680</v>
      </c>
      <c r="O85" s="11">
        <v>104045</v>
      </c>
      <c r="P85" s="14">
        <f t="shared" ca="1" si="6"/>
        <v>2081</v>
      </c>
      <c r="Q85" t="s">
        <v>23</v>
      </c>
      <c r="R85" s="16">
        <f t="shared" ca="1" si="7"/>
        <v>2.0000961122591185E-2</v>
      </c>
      <c r="S85" s="7">
        <f t="shared" ca="1" si="8"/>
        <v>377</v>
      </c>
      <c r="T85" t="s">
        <v>16</v>
      </c>
      <c r="U85" s="1">
        <f t="shared" ca="1" si="9"/>
        <v>45937</v>
      </c>
      <c r="V85" s="1" t="str">
        <f t="shared" ca="1" si="10"/>
        <v>Overdue</v>
      </c>
      <c r="W85" t="str">
        <f t="shared" si="11"/>
        <v/>
      </c>
      <c r="X85" t="e" cm="1">
        <f t="array" aca="1" ref="X85" ca="1" xml:space="preserve">
 _xlfn.IFS(S85&lt;=30,"0–30",
 S85&lt;=60,"31–60",
 S85&lt;=120,"61–120",
 TRUE,"120+"
)</f>
        <v>#NAME?</v>
      </c>
      <c r="Y85" s="11">
        <v>0</v>
      </c>
    </row>
    <row r="86" spans="1:25" x14ac:dyDescent="0.2">
      <c r="A86" t="s">
        <v>128</v>
      </c>
      <c r="B86" t="s">
        <v>228</v>
      </c>
      <c r="C86" t="s">
        <v>396</v>
      </c>
      <c r="D86" t="s">
        <v>321</v>
      </c>
      <c r="E86" t="s">
        <v>256</v>
      </c>
      <c r="F86" t="s">
        <v>480</v>
      </c>
      <c r="G86" t="s">
        <v>481</v>
      </c>
      <c r="H86" t="s">
        <v>45</v>
      </c>
      <c r="I86" t="s">
        <v>512</v>
      </c>
      <c r="J86" t="s">
        <v>524</v>
      </c>
      <c r="K86" t="s">
        <v>47</v>
      </c>
      <c r="L86" t="s">
        <v>47</v>
      </c>
      <c r="M86" s="1">
        <v>45779</v>
      </c>
      <c r="N86" s="1">
        <v>45792</v>
      </c>
      <c r="O86" s="11">
        <v>122492</v>
      </c>
      <c r="P86" s="14">
        <f t="shared" ca="1" si="6"/>
        <v>106568</v>
      </c>
      <c r="Q86" t="s">
        <v>15</v>
      </c>
      <c r="R86" s="16">
        <f t="shared" ca="1" si="7"/>
        <v>0.86999967344806195</v>
      </c>
      <c r="S86" s="7">
        <f t="shared" ca="1" si="8"/>
        <v>265</v>
      </c>
      <c r="T86" t="s">
        <v>16</v>
      </c>
      <c r="U86" s="1">
        <f t="shared" ca="1" si="9"/>
        <v>45961</v>
      </c>
      <c r="V86" s="1" t="str">
        <f t="shared" ca="1" si="10"/>
        <v>No Follow-Up Needed</v>
      </c>
      <c r="W86" t="str">
        <f t="shared" si="11"/>
        <v/>
      </c>
      <c r="X86" t="e" cm="1">
        <f t="array" aca="1" ref="X86" ca="1" xml:space="preserve">
 _xlfn.IFS(S86&lt;=30,"0–30",
 S86&lt;=60,"31–60",
 S86&lt;=120,"61–120",
 TRUE,"120+"
)</f>
        <v>#NAME?</v>
      </c>
      <c r="Y86" s="11">
        <v>0</v>
      </c>
    </row>
    <row r="87" spans="1:25" x14ac:dyDescent="0.2">
      <c r="A87" t="s">
        <v>129</v>
      </c>
      <c r="B87" t="s">
        <v>229</v>
      </c>
      <c r="C87" t="s">
        <v>28</v>
      </c>
      <c r="D87" t="s">
        <v>129</v>
      </c>
      <c r="E87" t="s">
        <v>546</v>
      </c>
      <c r="F87" t="s">
        <v>459</v>
      </c>
      <c r="G87" t="s">
        <v>460</v>
      </c>
      <c r="H87" t="s">
        <v>14</v>
      </c>
      <c r="I87" t="s">
        <v>515</v>
      </c>
      <c r="J87" t="s">
        <v>538</v>
      </c>
      <c r="K87" t="s">
        <v>47</v>
      </c>
      <c r="L87" t="s">
        <v>52</v>
      </c>
      <c r="M87" s="1">
        <v>45749</v>
      </c>
      <c r="N87" s="1">
        <v>45760</v>
      </c>
      <c r="O87" s="11">
        <v>140269</v>
      </c>
      <c r="P87" s="14">
        <f t="shared" ca="1" si="6"/>
        <v>0</v>
      </c>
      <c r="Q87" t="s">
        <v>27</v>
      </c>
      <c r="R87" s="16" t="str">
        <f t="shared" ca="1" si="7"/>
        <v/>
      </c>
      <c r="S87" s="7">
        <f t="shared" ca="1" si="8"/>
        <v>297</v>
      </c>
      <c r="T87" t="s">
        <v>16</v>
      </c>
      <c r="U87" s="1">
        <f t="shared" ca="1" si="9"/>
        <v>46050</v>
      </c>
      <c r="V87" s="1" t="str">
        <f t="shared" ca="1" si="10"/>
        <v>On Track</v>
      </c>
      <c r="W87" t="str">
        <f t="shared" si="11"/>
        <v/>
      </c>
      <c r="X87" t="e" cm="1">
        <f t="array" aca="1" ref="X87" ca="1" xml:space="preserve">
 _xlfn.IFS(S87&lt;=30,"0–30",
 S87&lt;=60,"31–60",
 S87&lt;=120,"61–120",
 TRUE,"120+"
)</f>
        <v>#NAME?</v>
      </c>
      <c r="Y87" s="11">
        <v>0</v>
      </c>
    </row>
    <row r="88" spans="1:25" x14ac:dyDescent="0.2">
      <c r="A88" t="s">
        <v>130</v>
      </c>
      <c r="B88" t="s">
        <v>230</v>
      </c>
      <c r="C88" t="s">
        <v>31</v>
      </c>
      <c r="D88" t="s">
        <v>320</v>
      </c>
      <c r="E88" t="s">
        <v>546</v>
      </c>
      <c r="F88" t="s">
        <v>470</v>
      </c>
      <c r="G88" t="s">
        <v>31</v>
      </c>
      <c r="H88" t="s">
        <v>39</v>
      </c>
      <c r="I88" t="s">
        <v>507</v>
      </c>
      <c r="J88" t="s">
        <v>531</v>
      </c>
      <c r="K88" t="s">
        <v>47</v>
      </c>
      <c r="L88" t="s">
        <v>52</v>
      </c>
      <c r="M88" s="1">
        <v>45879</v>
      </c>
      <c r="N88" s="1">
        <v>45899</v>
      </c>
      <c r="O88" s="11">
        <v>85863</v>
      </c>
      <c r="P88" s="14">
        <f t="shared" ca="1" si="6"/>
        <v>85863</v>
      </c>
      <c r="Q88" t="s">
        <v>15</v>
      </c>
      <c r="R88" s="16">
        <f t="shared" ca="1" si="7"/>
        <v>1</v>
      </c>
      <c r="S88" s="7">
        <f t="shared" ca="1" si="8"/>
        <v>158</v>
      </c>
      <c r="T88" t="s">
        <v>16</v>
      </c>
      <c r="U88" s="1">
        <f t="shared" ca="1" si="9"/>
        <v>46038</v>
      </c>
      <c r="V88" s="1" t="str">
        <f t="shared" ca="1" si="10"/>
        <v>No Follow-Up Needed</v>
      </c>
      <c r="W88" t="str">
        <f t="shared" si="11"/>
        <v/>
      </c>
      <c r="X88" t="e" cm="1">
        <f t="array" aca="1" ref="X88" ca="1" xml:space="preserve">
 _xlfn.IFS(S88&lt;=30,"0–30",
 S88&lt;=60,"31–60",
 S88&lt;=120,"61–120",
 TRUE,"120+"
)</f>
        <v>#NAME?</v>
      </c>
      <c r="Y88" s="11">
        <v>0</v>
      </c>
    </row>
    <row r="89" spans="1:25" x14ac:dyDescent="0.2">
      <c r="A89" t="s">
        <v>131</v>
      </c>
      <c r="B89" t="s">
        <v>231</v>
      </c>
      <c r="C89" t="s">
        <v>13</v>
      </c>
      <c r="D89" t="s">
        <v>319</v>
      </c>
      <c r="E89" t="s">
        <v>547</v>
      </c>
      <c r="F89" t="s">
        <v>427</v>
      </c>
      <c r="G89" t="s">
        <v>428</v>
      </c>
      <c r="H89" t="s">
        <v>45</v>
      </c>
      <c r="I89" t="s">
        <v>512</v>
      </c>
      <c r="J89" t="s">
        <v>524</v>
      </c>
      <c r="K89" t="s">
        <v>40</v>
      </c>
      <c r="L89" t="s">
        <v>42</v>
      </c>
      <c r="M89" s="1">
        <v>45681</v>
      </c>
      <c r="N89" s="1">
        <v>45690</v>
      </c>
      <c r="O89" s="11">
        <v>136365</v>
      </c>
      <c r="P89" s="14">
        <f t="shared" ca="1" si="6"/>
        <v>0</v>
      </c>
      <c r="Q89" t="s">
        <v>27</v>
      </c>
      <c r="R89" s="16" t="str">
        <f t="shared" ca="1" si="7"/>
        <v/>
      </c>
      <c r="S89" s="7">
        <f t="shared" ca="1" si="8"/>
        <v>367</v>
      </c>
      <c r="T89" t="s">
        <v>24</v>
      </c>
      <c r="U89" s="1">
        <f t="shared" ca="1" si="9"/>
        <v>45727</v>
      </c>
      <c r="V89" s="1" t="str">
        <f t="shared" ca="1" si="10"/>
        <v>Overdue</v>
      </c>
      <c r="W89" t="str">
        <f t="shared" si="11"/>
        <v/>
      </c>
      <c r="X89" t="e" cm="1">
        <f t="array" aca="1" ref="X89" ca="1" xml:space="preserve">
 _xlfn.IFS(S89&lt;=30,"0–30",
 S89&lt;=60,"31–60",
 S89&lt;=120,"61–120",
 TRUE,"120+"
)</f>
        <v>#NAME?</v>
      </c>
      <c r="Y89" s="11">
        <v>0</v>
      </c>
    </row>
    <row r="90" spans="1:25" x14ac:dyDescent="0.2">
      <c r="A90" t="s">
        <v>132</v>
      </c>
      <c r="B90" t="s">
        <v>232</v>
      </c>
      <c r="C90" t="s">
        <v>18</v>
      </c>
      <c r="D90" t="s">
        <v>318</v>
      </c>
      <c r="E90" t="s">
        <v>546</v>
      </c>
      <c r="F90" t="s">
        <v>438</v>
      </c>
      <c r="G90" t="s">
        <v>439</v>
      </c>
      <c r="H90" t="s">
        <v>43</v>
      </c>
      <c r="I90" t="s">
        <v>502</v>
      </c>
      <c r="J90" t="s">
        <v>526</v>
      </c>
      <c r="K90" t="s">
        <v>80</v>
      </c>
      <c r="L90" t="s">
        <v>52</v>
      </c>
      <c r="M90" s="1">
        <v>45715</v>
      </c>
      <c r="N90" s="1">
        <v>45724</v>
      </c>
      <c r="O90" s="11">
        <v>66517</v>
      </c>
      <c r="P90" s="14">
        <f t="shared" ca="1" si="6"/>
        <v>0</v>
      </c>
      <c r="Q90" t="s">
        <v>27</v>
      </c>
      <c r="R90" s="16" t="str">
        <f t="shared" ca="1" si="7"/>
        <v/>
      </c>
      <c r="S90" s="7">
        <f t="shared" ca="1" si="8"/>
        <v>333</v>
      </c>
      <c r="T90" t="s">
        <v>24</v>
      </c>
      <c r="U90" s="1">
        <f t="shared" ca="1" si="9"/>
        <v>45791</v>
      </c>
      <c r="V90" s="1" t="str">
        <f t="shared" ca="1" si="10"/>
        <v>Overdue</v>
      </c>
      <c r="W90" t="str">
        <f t="shared" si="11"/>
        <v/>
      </c>
      <c r="X90" t="e" cm="1">
        <f t="array" aca="1" ref="X90" ca="1" xml:space="preserve">
 _xlfn.IFS(S90&lt;=30,"0–30",
 S90&lt;=60,"31–60",
 S90&lt;=120,"61–120",
 TRUE,"120+"
)</f>
        <v>#NAME?</v>
      </c>
      <c r="Y90" s="11">
        <v>0</v>
      </c>
    </row>
    <row r="91" spans="1:25" x14ac:dyDescent="0.2">
      <c r="A91" t="s">
        <v>133</v>
      </c>
      <c r="B91" t="s">
        <v>233</v>
      </c>
      <c r="C91" t="s">
        <v>22</v>
      </c>
      <c r="D91" t="s">
        <v>317</v>
      </c>
      <c r="E91" t="s">
        <v>546</v>
      </c>
      <c r="F91" t="s">
        <v>449</v>
      </c>
      <c r="G91" t="s">
        <v>450</v>
      </c>
      <c r="H91" t="s">
        <v>41</v>
      </c>
      <c r="I91" t="s">
        <v>498</v>
      </c>
      <c r="J91" t="s">
        <v>520</v>
      </c>
      <c r="K91" t="s">
        <v>40</v>
      </c>
      <c r="L91" t="s">
        <v>44</v>
      </c>
      <c r="M91" s="1">
        <v>45741</v>
      </c>
      <c r="N91" s="1">
        <v>45758</v>
      </c>
      <c r="O91" s="11">
        <v>85134</v>
      </c>
      <c r="P91" s="14">
        <f t="shared" ca="1" si="6"/>
        <v>0</v>
      </c>
      <c r="Q91" t="s">
        <v>19</v>
      </c>
      <c r="R91" s="16" t="str">
        <f t="shared" ca="1" si="7"/>
        <v/>
      </c>
      <c r="S91" s="7">
        <f t="shared" ca="1" si="8"/>
        <v>299</v>
      </c>
      <c r="T91" t="s">
        <v>16</v>
      </c>
      <c r="U91" s="1">
        <f t="shared" ca="1" si="9"/>
        <v>45798</v>
      </c>
      <c r="V91" s="1" t="str">
        <f t="shared" ca="1" si="10"/>
        <v>No Follow-Up Needed</v>
      </c>
      <c r="W91" t="str">
        <f t="shared" si="11"/>
        <v/>
      </c>
      <c r="X91" t="e" cm="1">
        <f t="array" aca="1" ref="X91" ca="1" xml:space="preserve">
 _xlfn.IFS(S91&lt;=30,"0–30",
 S91&lt;=60,"31–60",
 S91&lt;=120,"61–120",
 TRUE,"120+"
)</f>
        <v>#NAME?</v>
      </c>
      <c r="Y91" s="11">
        <v>0</v>
      </c>
    </row>
    <row r="92" spans="1:25" x14ac:dyDescent="0.2">
      <c r="A92" t="s">
        <v>134</v>
      </c>
      <c r="B92" t="s">
        <v>234</v>
      </c>
      <c r="C92" t="s">
        <v>28</v>
      </c>
      <c r="D92" t="s">
        <v>134</v>
      </c>
      <c r="E92" t="s">
        <v>546</v>
      </c>
      <c r="F92" t="s">
        <v>459</v>
      </c>
      <c r="G92" t="s">
        <v>460</v>
      </c>
      <c r="H92" t="s">
        <v>45</v>
      </c>
      <c r="I92" t="s">
        <v>512</v>
      </c>
      <c r="J92" t="s">
        <v>524</v>
      </c>
      <c r="K92" t="s">
        <v>42</v>
      </c>
      <c r="L92" t="s">
        <v>52</v>
      </c>
      <c r="M92" s="1">
        <v>45931</v>
      </c>
      <c r="N92" s="1">
        <v>45957</v>
      </c>
      <c r="O92" s="11">
        <v>26888</v>
      </c>
      <c r="P92" s="14">
        <f t="shared" ca="1" si="6"/>
        <v>24199</v>
      </c>
      <c r="Q92" t="s">
        <v>15</v>
      </c>
      <c r="R92" s="16">
        <f t="shared" ca="1" si="7"/>
        <v>0.89999256173757813</v>
      </c>
      <c r="S92" s="7">
        <f t="shared" ca="1" si="8"/>
        <v>100</v>
      </c>
      <c r="T92" t="s">
        <v>16</v>
      </c>
      <c r="U92" s="1">
        <f t="shared" ca="1" si="9"/>
        <v>45999</v>
      </c>
      <c r="V92" s="1" t="str">
        <f t="shared" ca="1" si="10"/>
        <v>No Follow-Up Needed</v>
      </c>
      <c r="W92" t="str">
        <f t="shared" si="11"/>
        <v/>
      </c>
      <c r="X92" t="e" cm="1">
        <f t="array" aca="1" ref="X92" ca="1" xml:space="preserve">
 _xlfn.IFS(S92&lt;=30,"0–30",
 S92&lt;=60,"31–60",
 S92&lt;=120,"61–120",
 TRUE,"120+"
)</f>
        <v>#NAME?</v>
      </c>
      <c r="Y92" s="11">
        <v>0</v>
      </c>
    </row>
    <row r="93" spans="1:25" x14ac:dyDescent="0.2">
      <c r="A93" t="s">
        <v>135</v>
      </c>
      <c r="B93" t="s">
        <v>235</v>
      </c>
      <c r="C93" t="s">
        <v>22</v>
      </c>
      <c r="D93" t="s">
        <v>316</v>
      </c>
      <c r="E93" t="s">
        <v>546</v>
      </c>
      <c r="F93" t="s">
        <v>449</v>
      </c>
      <c r="G93" t="s">
        <v>450</v>
      </c>
      <c r="H93" t="s">
        <v>41</v>
      </c>
      <c r="I93" t="s">
        <v>510</v>
      </c>
      <c r="J93" t="s">
        <v>534</v>
      </c>
      <c r="K93" t="s">
        <v>40</v>
      </c>
      <c r="L93" t="s">
        <v>44</v>
      </c>
      <c r="M93" s="1">
        <v>45915</v>
      </c>
      <c r="N93" s="1">
        <v>45924</v>
      </c>
      <c r="O93" s="11">
        <v>74738</v>
      </c>
      <c r="P93" s="14">
        <f t="shared" ca="1" si="6"/>
        <v>0</v>
      </c>
      <c r="Q93" t="s">
        <v>19</v>
      </c>
      <c r="R93" s="16" t="str">
        <f t="shared" ca="1" si="7"/>
        <v/>
      </c>
      <c r="S93" s="7">
        <f t="shared" ca="1" si="8"/>
        <v>133</v>
      </c>
      <c r="T93" t="s">
        <v>16</v>
      </c>
      <c r="U93" s="1">
        <f t="shared" ca="1" si="9"/>
        <v>45931</v>
      </c>
      <c r="V93" s="1" t="str">
        <f t="shared" ca="1" si="10"/>
        <v>No Follow-Up Needed</v>
      </c>
      <c r="W93" t="str">
        <f t="shared" si="11"/>
        <v/>
      </c>
      <c r="X93" t="e" cm="1">
        <f t="array" aca="1" ref="X93" ca="1" xml:space="preserve">
 _xlfn.IFS(S93&lt;=30,"0–30",
 S93&lt;=60,"31–60",
 S93&lt;=120,"61–120",
 TRUE,"120+"
)</f>
        <v>#NAME?</v>
      </c>
      <c r="Y93" s="11">
        <v>0</v>
      </c>
    </row>
    <row r="94" spans="1:25" x14ac:dyDescent="0.2">
      <c r="A94" t="s">
        <v>136</v>
      </c>
      <c r="B94" t="s">
        <v>236</v>
      </c>
      <c r="C94" t="s">
        <v>13</v>
      </c>
      <c r="D94" t="s">
        <v>315</v>
      </c>
      <c r="E94" t="s">
        <v>547</v>
      </c>
      <c r="F94" t="s">
        <v>427</v>
      </c>
      <c r="G94" t="s">
        <v>428</v>
      </c>
      <c r="H94" t="s">
        <v>14</v>
      </c>
      <c r="I94" t="s">
        <v>516</v>
      </c>
      <c r="J94" t="s">
        <v>539</v>
      </c>
      <c r="K94" t="s">
        <v>55</v>
      </c>
      <c r="L94" t="s">
        <v>42</v>
      </c>
      <c r="M94" s="1">
        <v>45717</v>
      </c>
      <c r="N94" s="1">
        <v>45733</v>
      </c>
      <c r="O94" s="11">
        <v>40279</v>
      </c>
      <c r="P94" s="14">
        <f t="shared" ca="1" si="6"/>
        <v>8459</v>
      </c>
      <c r="Q94" t="s">
        <v>23</v>
      </c>
      <c r="R94" s="16">
        <f t="shared" ca="1" si="7"/>
        <v>0.21001017900146479</v>
      </c>
      <c r="S94" s="7">
        <f t="shared" ca="1" si="8"/>
        <v>324</v>
      </c>
      <c r="T94" t="s">
        <v>24</v>
      </c>
      <c r="U94" s="1">
        <f t="shared" ca="1" si="9"/>
        <v>45991</v>
      </c>
      <c r="V94" s="1" t="str">
        <f t="shared" ca="1" si="10"/>
        <v>Overdue</v>
      </c>
      <c r="W94" t="str">
        <f t="shared" si="11"/>
        <v/>
      </c>
      <c r="X94" t="e" cm="1">
        <f t="array" aca="1" ref="X94" ca="1" xml:space="preserve">
 _xlfn.IFS(S94&lt;=30,"0–30",
 S94&lt;=60,"31–60",
 S94&lt;=120,"61–120",
 TRUE,"120+"
)</f>
        <v>#NAME?</v>
      </c>
      <c r="Y94" s="11">
        <v>0</v>
      </c>
    </row>
    <row r="95" spans="1:25" x14ac:dyDescent="0.2">
      <c r="A95" t="s">
        <v>137</v>
      </c>
      <c r="B95" t="s">
        <v>237</v>
      </c>
      <c r="C95" t="s">
        <v>31</v>
      </c>
      <c r="D95" t="s">
        <v>314</v>
      </c>
      <c r="E95" t="s">
        <v>546</v>
      </c>
      <c r="F95" t="s">
        <v>470</v>
      </c>
      <c r="G95" t="s">
        <v>31</v>
      </c>
      <c r="H95" t="s">
        <v>14</v>
      </c>
      <c r="I95" t="s">
        <v>505</v>
      </c>
      <c r="J95" t="s">
        <v>529</v>
      </c>
      <c r="K95" t="s">
        <v>44</v>
      </c>
      <c r="L95" t="s">
        <v>40</v>
      </c>
      <c r="M95" s="1">
        <v>45763</v>
      </c>
      <c r="N95" s="1">
        <v>45782</v>
      </c>
      <c r="O95" s="11">
        <v>120390</v>
      </c>
      <c r="P95" s="14">
        <f t="shared" ca="1" si="6"/>
        <v>49360</v>
      </c>
      <c r="Q95" t="s">
        <v>23</v>
      </c>
      <c r="R95" s="16">
        <f t="shared" ca="1" si="7"/>
        <v>0.41000083063377357</v>
      </c>
      <c r="S95" s="7">
        <f t="shared" ca="1" si="8"/>
        <v>275</v>
      </c>
      <c r="T95" t="s">
        <v>16</v>
      </c>
      <c r="U95" s="1">
        <f t="shared" ca="1" si="9"/>
        <v>46038</v>
      </c>
      <c r="V95" s="1" t="str">
        <f t="shared" ca="1" si="10"/>
        <v>Overdue</v>
      </c>
      <c r="W95" t="str">
        <f t="shared" si="11"/>
        <v/>
      </c>
      <c r="X95" t="e" cm="1">
        <f t="array" aca="1" ref="X95" ca="1" xml:space="preserve">
 _xlfn.IFS(S95&lt;=30,"0–30",
 S95&lt;=60,"31–60",
 S95&lt;=120,"61–120",
 TRUE,"120+"
)</f>
        <v>#NAME?</v>
      </c>
      <c r="Y95" s="11">
        <v>0</v>
      </c>
    </row>
    <row r="96" spans="1:25" x14ac:dyDescent="0.2">
      <c r="A96" t="s">
        <v>138</v>
      </c>
      <c r="B96" t="s">
        <v>238</v>
      </c>
      <c r="C96" t="s">
        <v>22</v>
      </c>
      <c r="D96" t="s">
        <v>313</v>
      </c>
      <c r="E96" t="s">
        <v>546</v>
      </c>
      <c r="F96" t="s">
        <v>449</v>
      </c>
      <c r="G96" t="s">
        <v>450</v>
      </c>
      <c r="H96" t="s">
        <v>43</v>
      </c>
      <c r="I96" t="s">
        <v>499</v>
      </c>
      <c r="J96" t="s">
        <v>521</v>
      </c>
      <c r="K96" t="s">
        <v>40</v>
      </c>
      <c r="L96" t="s">
        <v>80</v>
      </c>
      <c r="M96" s="1">
        <v>45915</v>
      </c>
      <c r="N96" s="1">
        <v>45936</v>
      </c>
      <c r="O96" s="11">
        <v>82220</v>
      </c>
      <c r="P96" s="14">
        <f t="shared" ca="1" si="6"/>
        <v>0</v>
      </c>
      <c r="Q96" t="s">
        <v>19</v>
      </c>
      <c r="R96" s="16" t="str">
        <f t="shared" ca="1" si="7"/>
        <v/>
      </c>
      <c r="S96" s="7">
        <f t="shared" ca="1" si="8"/>
        <v>121</v>
      </c>
      <c r="T96" t="s">
        <v>16</v>
      </c>
      <c r="U96" s="1">
        <f t="shared" ca="1" si="9"/>
        <v>45995</v>
      </c>
      <c r="V96" s="1" t="str">
        <f t="shared" ca="1" si="10"/>
        <v>No Follow-Up Needed</v>
      </c>
      <c r="W96" t="str">
        <f t="shared" si="11"/>
        <v/>
      </c>
      <c r="X96" t="e" cm="1">
        <f t="array" aca="1" ref="X96" ca="1" xml:space="preserve">
 _xlfn.IFS(S96&lt;=30,"0–30",
 S96&lt;=60,"31–60",
 S96&lt;=120,"61–120",
 TRUE,"120+"
)</f>
        <v>#NAME?</v>
      </c>
      <c r="Y96" s="11">
        <v>0</v>
      </c>
    </row>
    <row r="97" spans="1:25" x14ac:dyDescent="0.2">
      <c r="A97" t="s">
        <v>139</v>
      </c>
      <c r="B97" t="s">
        <v>239</v>
      </c>
      <c r="C97" t="s">
        <v>31</v>
      </c>
      <c r="D97" t="s">
        <v>312</v>
      </c>
      <c r="E97" t="s">
        <v>546</v>
      </c>
      <c r="F97" t="s">
        <v>470</v>
      </c>
      <c r="G97" t="s">
        <v>31</v>
      </c>
      <c r="H97" t="s">
        <v>41</v>
      </c>
      <c r="I97" t="s">
        <v>503</v>
      </c>
      <c r="J97" t="s">
        <v>527</v>
      </c>
      <c r="K97" t="s">
        <v>55</v>
      </c>
      <c r="L97" t="s">
        <v>42</v>
      </c>
      <c r="M97" s="1">
        <v>45963</v>
      </c>
      <c r="N97" s="1">
        <v>45977</v>
      </c>
      <c r="O97" s="11">
        <v>157779</v>
      </c>
      <c r="P97" s="14">
        <f t="shared" ca="1" si="6"/>
        <v>135690</v>
      </c>
      <c r="Q97" t="s">
        <v>15</v>
      </c>
      <c r="R97" s="16">
        <f t="shared" ca="1" si="7"/>
        <v>0.86000038027874437</v>
      </c>
      <c r="S97" s="7">
        <f t="shared" ca="1" si="8"/>
        <v>80</v>
      </c>
      <c r="T97" t="s">
        <v>24</v>
      </c>
      <c r="U97" s="1">
        <f t="shared" ca="1" si="9"/>
        <v>45978</v>
      </c>
      <c r="V97" s="1" t="str">
        <f t="shared" ca="1" si="10"/>
        <v>No Follow-Up Needed</v>
      </c>
      <c r="W97" t="str">
        <f t="shared" si="11"/>
        <v/>
      </c>
      <c r="X97" t="e" cm="1">
        <f t="array" aca="1" ref="X97" ca="1" xml:space="preserve">
 _xlfn.IFS(S97&lt;=30,"0–30",
 S97&lt;=60,"31–60",
 S97&lt;=120,"61–120",
 TRUE,"120+"
)</f>
        <v>#NAME?</v>
      </c>
      <c r="Y97" s="11">
        <v>0</v>
      </c>
    </row>
    <row r="98" spans="1:25" x14ac:dyDescent="0.2">
      <c r="A98" t="s">
        <v>140</v>
      </c>
      <c r="B98" t="s">
        <v>240</v>
      </c>
      <c r="C98" t="s">
        <v>18</v>
      </c>
      <c r="D98" t="s">
        <v>311</v>
      </c>
      <c r="E98" t="s">
        <v>546</v>
      </c>
      <c r="F98" t="s">
        <v>438</v>
      </c>
      <c r="G98" t="s">
        <v>439</v>
      </c>
      <c r="H98" t="s">
        <v>14</v>
      </c>
      <c r="I98" t="s">
        <v>503</v>
      </c>
      <c r="J98" t="s">
        <v>527</v>
      </c>
      <c r="K98" t="s">
        <v>64</v>
      </c>
      <c r="L98" t="s">
        <v>52</v>
      </c>
      <c r="M98" s="1">
        <v>45981</v>
      </c>
      <c r="N98" s="1">
        <v>46003</v>
      </c>
      <c r="O98" s="11">
        <v>13842</v>
      </c>
      <c r="P98" s="14">
        <f t="shared" ca="1" si="6"/>
        <v>0</v>
      </c>
      <c r="Q98" t="s">
        <v>19</v>
      </c>
      <c r="R98" s="16" t="str">
        <f t="shared" ca="1" si="7"/>
        <v/>
      </c>
      <c r="S98" s="7">
        <f t="shared" ca="1" si="8"/>
        <v>54</v>
      </c>
      <c r="T98" t="s">
        <v>16</v>
      </c>
      <c r="U98" s="1">
        <f t="shared" ca="1" si="9"/>
        <v>46006</v>
      </c>
      <c r="V98" s="1" t="str">
        <f t="shared" ca="1" si="10"/>
        <v>No Follow-Up Needed</v>
      </c>
      <c r="W98" t="str">
        <f t="shared" si="11"/>
        <v/>
      </c>
      <c r="X98" t="e" cm="1">
        <f t="array" aca="1" ref="X98" ca="1" xml:space="preserve">
 _xlfn.IFS(S98&lt;=30,"0–30",
 S98&lt;=60,"31–60",
 S98&lt;=120,"61–120",
 TRUE,"120+"
)</f>
        <v>#NAME?</v>
      </c>
      <c r="Y98" s="11">
        <v>0</v>
      </c>
    </row>
    <row r="99" spans="1:25" x14ac:dyDescent="0.2">
      <c r="A99" t="s">
        <v>141</v>
      </c>
      <c r="B99" t="s">
        <v>241</v>
      </c>
      <c r="C99" t="s">
        <v>13</v>
      </c>
      <c r="D99" t="s">
        <v>310</v>
      </c>
      <c r="E99" t="s">
        <v>547</v>
      </c>
      <c r="F99" t="s">
        <v>427</v>
      </c>
      <c r="G99" t="s">
        <v>428</v>
      </c>
      <c r="H99" t="s">
        <v>60</v>
      </c>
      <c r="I99" t="s">
        <v>542</v>
      </c>
      <c r="J99" t="s">
        <v>525</v>
      </c>
      <c r="K99" t="s">
        <v>40</v>
      </c>
      <c r="L99" t="s">
        <v>52</v>
      </c>
      <c r="M99" s="1">
        <v>45716</v>
      </c>
      <c r="N99" s="1">
        <v>45732</v>
      </c>
      <c r="O99" s="11">
        <v>67395</v>
      </c>
      <c r="P99" s="14">
        <f t="shared" ca="1" si="6"/>
        <v>59982</v>
      </c>
      <c r="Q99" t="s">
        <v>15</v>
      </c>
      <c r="R99" s="16">
        <f t="shared" ca="1" si="7"/>
        <v>0.89000667705319381</v>
      </c>
      <c r="S99" s="7">
        <f t="shared" ca="1" si="8"/>
        <v>325</v>
      </c>
      <c r="T99" t="s">
        <v>24</v>
      </c>
      <c r="U99" s="1">
        <f t="shared" ca="1" si="9"/>
        <v>45995</v>
      </c>
      <c r="V99" s="1" t="str">
        <f t="shared" ca="1" si="10"/>
        <v>No Follow-Up Needed</v>
      </c>
      <c r="W99" t="str">
        <f t="shared" si="11"/>
        <v/>
      </c>
      <c r="X99" t="e" cm="1">
        <f t="array" aca="1" ref="X99" ca="1" xml:space="preserve">
 _xlfn.IFS(S99&lt;=30,"0–30",
 S99&lt;=60,"31–60",
 S99&lt;=120,"61–120",
 TRUE,"120+"
)</f>
        <v>#NAME?</v>
      </c>
      <c r="Y99" s="11">
        <v>0</v>
      </c>
    </row>
    <row r="100" spans="1:25" x14ac:dyDescent="0.2">
      <c r="A100" t="s">
        <v>142</v>
      </c>
      <c r="B100" t="s">
        <v>242</v>
      </c>
      <c r="C100" t="s">
        <v>13</v>
      </c>
      <c r="D100" t="s">
        <v>309</v>
      </c>
      <c r="E100" t="s">
        <v>547</v>
      </c>
      <c r="F100" t="s">
        <v>427</v>
      </c>
      <c r="G100" t="s">
        <v>428</v>
      </c>
      <c r="H100" t="s">
        <v>60</v>
      </c>
      <c r="I100" t="s">
        <v>542</v>
      </c>
      <c r="J100" t="s">
        <v>525</v>
      </c>
      <c r="K100" t="s">
        <v>52</v>
      </c>
      <c r="L100" t="s">
        <v>47</v>
      </c>
      <c r="M100" s="1">
        <v>45988</v>
      </c>
      <c r="N100" s="1">
        <v>46011</v>
      </c>
      <c r="O100" s="11">
        <v>184577</v>
      </c>
      <c r="P100" s="14">
        <f t="shared" ca="1" si="6"/>
        <v>0</v>
      </c>
      <c r="Q100" t="s">
        <v>19</v>
      </c>
      <c r="R100" s="16" t="str">
        <f t="shared" ca="1" si="7"/>
        <v/>
      </c>
      <c r="S100" s="7">
        <f t="shared" ca="1" si="8"/>
        <v>46</v>
      </c>
      <c r="T100" t="s">
        <v>24</v>
      </c>
      <c r="U100" s="1">
        <f t="shared" ca="1" si="9"/>
        <v>46030</v>
      </c>
      <c r="V100" s="1" t="str">
        <f t="shared" ca="1" si="10"/>
        <v>No Follow-Up Needed</v>
      </c>
      <c r="W100" t="str">
        <f t="shared" si="11"/>
        <v/>
      </c>
      <c r="X100" t="e" cm="1">
        <f t="array" aca="1" ref="X100" ca="1" xml:space="preserve">
 _xlfn.IFS(S100&lt;=30,"0–30",
 S100&lt;=60,"31–60",
 S100&lt;=120,"61–120",
 TRUE,"120+"
)</f>
        <v>#NAME?</v>
      </c>
      <c r="Y100" s="11">
        <v>0</v>
      </c>
    </row>
    <row r="101" spans="1:25" x14ac:dyDescent="0.2">
      <c r="A101" t="s">
        <v>143</v>
      </c>
      <c r="B101" t="s">
        <v>243</v>
      </c>
      <c r="C101" t="s">
        <v>22</v>
      </c>
      <c r="D101" t="s">
        <v>308</v>
      </c>
      <c r="E101" t="s">
        <v>546</v>
      </c>
      <c r="F101" t="s">
        <v>449</v>
      </c>
      <c r="G101" t="s">
        <v>450</v>
      </c>
      <c r="H101" t="s">
        <v>39</v>
      </c>
      <c r="I101" t="s">
        <v>506</v>
      </c>
      <c r="J101" t="s">
        <v>530</v>
      </c>
      <c r="K101" t="s">
        <v>47</v>
      </c>
      <c r="L101" t="s">
        <v>52</v>
      </c>
      <c r="M101" s="1">
        <v>45733</v>
      </c>
      <c r="N101" s="1">
        <v>45748</v>
      </c>
      <c r="O101" s="11">
        <v>46406</v>
      </c>
      <c r="P101" s="14">
        <f t="shared" ca="1" si="6"/>
        <v>0</v>
      </c>
      <c r="Q101" t="s">
        <v>27</v>
      </c>
      <c r="R101" s="16" t="str">
        <f t="shared" ca="1" si="7"/>
        <v/>
      </c>
      <c r="S101" s="7">
        <f t="shared" ca="1" si="8"/>
        <v>309</v>
      </c>
      <c r="T101" t="s">
        <v>16</v>
      </c>
      <c r="U101" s="1">
        <f t="shared" ca="1" si="9"/>
        <v>45829</v>
      </c>
      <c r="V101" s="1" t="str">
        <f t="shared" ca="1" si="10"/>
        <v>Overdue</v>
      </c>
      <c r="W101" t="str">
        <f t="shared" si="11"/>
        <v/>
      </c>
      <c r="X101" t="e" cm="1">
        <f t="array" aca="1" ref="X101" ca="1" xml:space="preserve">
 _xlfn.IFS(S101&lt;=30,"0–30",
 S101&lt;=60,"31–60",
 S101&lt;=120,"61–120",
 TRUE,"120+"
)</f>
        <v>#NAME?</v>
      </c>
      <c r="Y101" s="11">
        <v>0</v>
      </c>
    </row>
    <row r="102" spans="1:25" x14ac:dyDescent="0.2">
      <c r="A102" t="s">
        <v>144</v>
      </c>
      <c r="B102" t="s">
        <v>244</v>
      </c>
      <c r="C102" t="s">
        <v>13</v>
      </c>
      <c r="D102" t="s">
        <v>307</v>
      </c>
      <c r="E102" t="s">
        <v>547</v>
      </c>
      <c r="F102" t="s">
        <v>427</v>
      </c>
      <c r="G102" t="s">
        <v>428</v>
      </c>
      <c r="H102" t="s">
        <v>43</v>
      </c>
      <c r="I102" t="s">
        <v>501</v>
      </c>
      <c r="J102" t="s">
        <v>523</v>
      </c>
      <c r="K102" t="s">
        <v>42</v>
      </c>
      <c r="L102" t="s">
        <v>40</v>
      </c>
      <c r="M102" s="1">
        <v>45672</v>
      </c>
      <c r="N102" s="1">
        <v>45680</v>
      </c>
      <c r="O102" s="11">
        <v>173575</v>
      </c>
      <c r="P102" s="14">
        <f t="shared" ca="1" si="6"/>
        <v>0</v>
      </c>
      <c r="Q102" t="s">
        <v>27</v>
      </c>
      <c r="R102" s="16" t="str">
        <f t="shared" ca="1" si="7"/>
        <v/>
      </c>
      <c r="S102" s="7">
        <f t="shared" ca="1" si="8"/>
        <v>377</v>
      </c>
      <c r="T102" t="s">
        <v>16</v>
      </c>
      <c r="U102" s="1">
        <f t="shared" ca="1" si="9"/>
        <v>45718</v>
      </c>
      <c r="V102" s="1" t="str">
        <f t="shared" ca="1" si="10"/>
        <v>Overdue</v>
      </c>
      <c r="W102" t="str">
        <f t="shared" si="11"/>
        <v/>
      </c>
      <c r="X102" t="e" cm="1">
        <f t="array" aca="1" ref="X102" ca="1" xml:space="preserve">
 _xlfn.IFS(S102&lt;=30,"0–30",
 S102&lt;=60,"31–60",
 S102&lt;=120,"61–120",
 TRUE,"120+"
)</f>
        <v>#NAME?</v>
      </c>
      <c r="Y102" s="11">
        <v>0</v>
      </c>
    </row>
    <row r="103" spans="1:25" x14ac:dyDescent="0.2">
      <c r="A103" t="s">
        <v>145</v>
      </c>
      <c r="B103" t="s">
        <v>245</v>
      </c>
      <c r="C103" t="s">
        <v>22</v>
      </c>
      <c r="D103" t="s">
        <v>306</v>
      </c>
      <c r="E103" t="s">
        <v>546</v>
      </c>
      <c r="F103" t="s">
        <v>449</v>
      </c>
      <c r="G103" t="s">
        <v>450</v>
      </c>
      <c r="H103" t="s">
        <v>45</v>
      </c>
      <c r="I103" t="s">
        <v>512</v>
      </c>
      <c r="J103" t="s">
        <v>524</v>
      </c>
      <c r="K103" t="s">
        <v>80</v>
      </c>
      <c r="L103" t="s">
        <v>64</v>
      </c>
      <c r="M103" s="1">
        <v>45862</v>
      </c>
      <c r="N103" s="1">
        <v>45875</v>
      </c>
      <c r="O103" s="11">
        <v>103609</v>
      </c>
      <c r="P103" s="14">
        <f t="shared" ca="1" si="6"/>
        <v>0</v>
      </c>
      <c r="Q103" t="s">
        <v>19</v>
      </c>
      <c r="R103" s="16" t="str">
        <f t="shared" ca="1" si="7"/>
        <v/>
      </c>
      <c r="S103" s="7">
        <f t="shared" ca="1" si="8"/>
        <v>182</v>
      </c>
      <c r="T103" t="s">
        <v>24</v>
      </c>
      <c r="U103" s="1">
        <f t="shared" ca="1" si="9"/>
        <v>45921</v>
      </c>
      <c r="V103" s="1" t="str">
        <f t="shared" ca="1" si="10"/>
        <v>No Follow-Up Needed</v>
      </c>
      <c r="W103" t="str">
        <f t="shared" si="11"/>
        <v/>
      </c>
      <c r="X103" t="e" cm="1">
        <f t="array" aca="1" ref="X103" ca="1" xml:space="preserve">
 _xlfn.IFS(S103&lt;=30,"0–30",
 S103&lt;=60,"31–60",
 S103&lt;=120,"61–120",
 TRUE,"120+"
)</f>
        <v>#NAME?</v>
      </c>
      <c r="Y103" s="11">
        <v>0</v>
      </c>
    </row>
  </sheetData>
  <autoFilter ref="A4:Y103" xr:uid="{AF411500-E53D-394B-A158-6FD7326EAD0E}"/>
  <conditionalFormatting sqref="V4">
    <cfRule type="containsText" dxfId="15" priority="2" operator="containsText" text="Time-Barred">
      <formula>NOT(ISERROR(SEARCH("Time-Barred",V4)))</formula>
    </cfRule>
  </conditionalFormatting>
  <conditionalFormatting sqref="V2:Y2 V4:V1048576">
    <cfRule type="containsText" dxfId="14" priority="1" stopIfTrue="1" operator="containsText" text="Overdue">
      <formula>NOT(ISERROR(SEARCH("Overdue",V2)))</formula>
    </cfRule>
  </conditionalFormatting>
  <conditionalFormatting sqref="W4:W1048576">
    <cfRule type="containsText" dxfId="13" priority="10" stopIfTrue="1" operator="containsText" text="Time-Barred">
      <formula>NOT(ISERROR(SEARCH("Time-Barred",W4)))</formula>
    </cfRule>
  </conditionalFormatting>
  <conditionalFormatting sqref="X4:X1048576">
    <cfRule type="containsText" dxfId="12" priority="11" operator="containsText" text="0–30">
      <formula>NOT(ISERROR(SEARCH("0–30",X4)))</formula>
    </cfRule>
    <cfRule type="containsText" dxfId="11" priority="12" operator="containsText" text="31–60">
      <formula>NOT(ISERROR(SEARCH("31–60",X4)))</formula>
    </cfRule>
    <cfRule type="containsText" dxfId="10" priority="13" operator="containsText" text="61–120">
      <formula>NOT(ISERROR(SEARCH("61–120",X4)))</formula>
    </cfRule>
    <cfRule type="containsText" dxfId="9" priority="14" stopIfTrue="1" operator="containsText" text="60-120">
      <formula>NOT(ISERROR(SEARCH("60-120",X4)))</formula>
    </cfRule>
    <cfRule type="containsText" dxfId="8" priority="15" stopIfTrue="1" operator="containsText" text="120+">
      <formula>NOT(ISERROR(SEARCH("120+",X4)))</formula>
    </cfRule>
    <cfRule type="containsText" dxfId="7" priority="16" stopIfTrue="1" operator="containsText" text="0-30">
      <formula>NOT(ISERROR(SEARCH("0-30",X4)))</formula>
    </cfRule>
  </conditionalFormatting>
  <conditionalFormatting sqref="Y3 Y5:Y1048576">
    <cfRule type="cellIs" dxfId="6" priority="9" operator="greaterThan">
      <formula>0</formula>
    </cfRule>
  </conditionalFormatting>
  <conditionalFormatting sqref="Y4">
    <cfRule type="containsText" dxfId="5" priority="3" operator="containsText" text="0–30">
      <formula>NOT(ISERROR(SEARCH("0–30",Y4)))</formula>
    </cfRule>
    <cfRule type="containsText" dxfId="4" priority="4" operator="containsText" text="31–60">
      <formula>NOT(ISERROR(SEARCH("31–60",Y4)))</formula>
    </cfRule>
    <cfRule type="containsText" dxfId="3" priority="5" operator="containsText" text="61–120">
      <formula>NOT(ISERROR(SEARCH("61–120",Y4)))</formula>
    </cfRule>
    <cfRule type="containsText" dxfId="2" priority="6" stopIfTrue="1" operator="containsText" text="60-120">
      <formula>NOT(ISERROR(SEARCH("60-120",Y4)))</formula>
    </cfRule>
    <cfRule type="containsText" dxfId="1" priority="7" stopIfTrue="1" operator="containsText" text="120+">
      <formula>NOT(ISERROR(SEARCH("120+",Y4)))</formula>
    </cfRule>
    <cfRule type="containsText" dxfId="0" priority="8" stopIfTrue="1" operator="containsText" text="0-30">
      <formula>NOT(ISERROR(SEARCH("0-30",Y4)))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9D871-EF6E-9C48-AD66-B25C68E8436D}">
  <sheetPr codeName="Sheet2"/>
  <dimension ref="A1:J21"/>
  <sheetViews>
    <sheetView zoomScale="130" zoomScaleNormal="130" workbookViewId="0">
      <selection activeCell="B16" sqref="B16"/>
    </sheetView>
  </sheetViews>
  <sheetFormatPr baseColWidth="10" defaultRowHeight="16" x14ac:dyDescent="0.2"/>
  <cols>
    <col min="1" max="1" width="17.6640625" bestFit="1" customWidth="1"/>
    <col min="2" max="2" width="77.33203125" bestFit="1" customWidth="1"/>
    <col min="3" max="3" width="19.1640625" bestFit="1" customWidth="1"/>
    <col min="4" max="4" width="129.83203125" bestFit="1" customWidth="1"/>
    <col min="5" max="5" width="19.33203125" style="27" bestFit="1" customWidth="1"/>
    <col min="6" max="6" width="15" customWidth="1"/>
    <col min="7" max="7" width="13" customWidth="1"/>
  </cols>
  <sheetData>
    <row r="1" spans="1:10" x14ac:dyDescent="0.2">
      <c r="A1" t="s">
        <v>304</v>
      </c>
    </row>
    <row r="2" spans="1:10" x14ac:dyDescent="0.2">
      <c r="A2" t="s">
        <v>305</v>
      </c>
      <c r="F2" s="23"/>
      <c r="G2" s="23"/>
      <c r="H2" s="23"/>
      <c r="I2" s="23"/>
      <c r="J2" s="23"/>
    </row>
    <row r="3" spans="1:10" x14ac:dyDescent="0.2">
      <c r="A3" s="3" t="s">
        <v>259</v>
      </c>
      <c r="B3" s="3" t="s">
        <v>260</v>
      </c>
      <c r="C3" s="3" t="s">
        <v>261</v>
      </c>
      <c r="D3" s="3" t="s">
        <v>262</v>
      </c>
      <c r="E3" s="28" t="s">
        <v>263</v>
      </c>
    </row>
    <row r="4" spans="1:10" x14ac:dyDescent="0.2">
      <c r="A4" s="22" t="s">
        <v>1</v>
      </c>
      <c r="B4" t="s">
        <v>264</v>
      </c>
      <c r="C4" t="s">
        <v>282</v>
      </c>
      <c r="D4" t="s">
        <v>283</v>
      </c>
      <c r="E4" s="27" t="s">
        <v>284</v>
      </c>
    </row>
    <row r="5" spans="1:10" ht="17" x14ac:dyDescent="0.25">
      <c r="A5" s="22" t="s">
        <v>2</v>
      </c>
      <c r="B5" t="s">
        <v>265</v>
      </c>
      <c r="C5" t="s">
        <v>282</v>
      </c>
      <c r="D5" t="s">
        <v>285</v>
      </c>
      <c r="E5" s="27" t="s">
        <v>29</v>
      </c>
    </row>
    <row r="6" spans="1:10" x14ac:dyDescent="0.2">
      <c r="A6" s="22" t="s">
        <v>3</v>
      </c>
      <c r="B6" t="s">
        <v>266</v>
      </c>
      <c r="C6" t="s">
        <v>282</v>
      </c>
      <c r="D6" t="s">
        <v>287</v>
      </c>
      <c r="E6" s="27" t="s">
        <v>286</v>
      </c>
    </row>
    <row r="7" spans="1:10" x14ac:dyDescent="0.2">
      <c r="A7" s="22" t="s">
        <v>298</v>
      </c>
      <c r="B7" t="s">
        <v>267</v>
      </c>
      <c r="C7" t="s">
        <v>282</v>
      </c>
      <c r="D7" t="s">
        <v>287</v>
      </c>
      <c r="E7" s="27" t="s">
        <v>47</v>
      </c>
    </row>
    <row r="8" spans="1:10" x14ac:dyDescent="0.2">
      <c r="A8" s="22" t="s">
        <v>254</v>
      </c>
      <c r="B8" t="s">
        <v>268</v>
      </c>
      <c r="C8" t="s">
        <v>282</v>
      </c>
      <c r="D8" t="s">
        <v>287</v>
      </c>
      <c r="E8" s="27" t="s">
        <v>42</v>
      </c>
      <c r="J8" s="1"/>
    </row>
    <row r="9" spans="1:10" x14ac:dyDescent="0.2">
      <c r="A9" s="22" t="s">
        <v>4</v>
      </c>
      <c r="B9" t="s">
        <v>269</v>
      </c>
      <c r="C9" t="s">
        <v>282</v>
      </c>
      <c r="D9" t="s">
        <v>289</v>
      </c>
      <c r="E9" s="29">
        <v>45820</v>
      </c>
      <c r="J9" s="1"/>
    </row>
    <row r="10" spans="1:10" x14ac:dyDescent="0.2">
      <c r="A10" s="22" t="s">
        <v>5</v>
      </c>
      <c r="B10" t="s">
        <v>270</v>
      </c>
      <c r="C10" t="s">
        <v>282</v>
      </c>
      <c r="D10" t="s">
        <v>289</v>
      </c>
      <c r="E10" s="29">
        <v>45828</v>
      </c>
      <c r="J10" s="24"/>
    </row>
    <row r="11" spans="1:10" x14ac:dyDescent="0.2">
      <c r="A11" s="22" t="s">
        <v>6</v>
      </c>
      <c r="B11" t="s">
        <v>271</v>
      </c>
      <c r="C11" t="s">
        <v>282</v>
      </c>
      <c r="D11" t="s">
        <v>290</v>
      </c>
      <c r="E11" s="31">
        <v>12450</v>
      </c>
      <c r="J11" s="24"/>
    </row>
    <row r="12" spans="1:10" x14ac:dyDescent="0.2">
      <c r="A12" s="21" t="s">
        <v>7</v>
      </c>
      <c r="B12" t="s">
        <v>272</v>
      </c>
      <c r="C12" t="s">
        <v>282</v>
      </c>
      <c r="D12" t="s">
        <v>291</v>
      </c>
      <c r="E12" s="31">
        <v>8900</v>
      </c>
    </row>
    <row r="13" spans="1:10" ht="17" x14ac:dyDescent="0.25">
      <c r="A13" s="21" t="s">
        <v>8</v>
      </c>
      <c r="B13" t="s">
        <v>273</v>
      </c>
      <c r="C13" t="s">
        <v>282</v>
      </c>
      <c r="D13" t="s">
        <v>299</v>
      </c>
      <c r="E13" s="27" t="s">
        <v>292</v>
      </c>
      <c r="I13" s="25"/>
      <c r="J13" s="26"/>
    </row>
    <row r="14" spans="1:10" x14ac:dyDescent="0.2">
      <c r="A14" s="20" t="s">
        <v>250</v>
      </c>
      <c r="B14" t="s">
        <v>274</v>
      </c>
      <c r="C14" t="s">
        <v>288</v>
      </c>
      <c r="D14" t="s">
        <v>293</v>
      </c>
      <c r="E14" s="30">
        <v>0.71499999999999997</v>
      </c>
    </row>
    <row r="15" spans="1:10" ht="17" x14ac:dyDescent="0.25">
      <c r="A15" s="20" t="s">
        <v>9</v>
      </c>
      <c r="B15" t="s">
        <v>275</v>
      </c>
      <c r="C15" t="s">
        <v>288</v>
      </c>
      <c r="D15" t="s">
        <v>300</v>
      </c>
      <c r="E15" s="27">
        <v>237</v>
      </c>
    </row>
    <row r="16" spans="1:10" x14ac:dyDescent="0.2">
      <c r="A16" s="20" t="s">
        <v>10</v>
      </c>
      <c r="B16" t="s">
        <v>276</v>
      </c>
      <c r="C16" t="s">
        <v>282</v>
      </c>
      <c r="D16" t="s">
        <v>294</v>
      </c>
      <c r="E16" s="27" t="s">
        <v>16</v>
      </c>
      <c r="J16" s="1"/>
    </row>
    <row r="17" spans="1:10" x14ac:dyDescent="0.2">
      <c r="A17" s="20" t="s">
        <v>11</v>
      </c>
      <c r="B17" t="s">
        <v>277</v>
      </c>
      <c r="C17" t="s">
        <v>282</v>
      </c>
      <c r="D17" t="s">
        <v>295</v>
      </c>
      <c r="E17" s="29">
        <v>45996</v>
      </c>
    </row>
    <row r="18" spans="1:10" x14ac:dyDescent="0.2">
      <c r="A18" s="20" t="s">
        <v>252</v>
      </c>
      <c r="B18" t="s">
        <v>278</v>
      </c>
      <c r="C18" t="s">
        <v>288</v>
      </c>
      <c r="D18" t="s">
        <v>301</v>
      </c>
      <c r="E18" s="27" t="s">
        <v>258</v>
      </c>
    </row>
    <row r="19" spans="1:10" x14ac:dyDescent="0.2">
      <c r="A19" s="20" t="s">
        <v>246</v>
      </c>
      <c r="B19" t="s">
        <v>279</v>
      </c>
      <c r="C19" t="s">
        <v>288</v>
      </c>
      <c r="D19" t="s">
        <v>302</v>
      </c>
      <c r="E19" s="27" t="s">
        <v>257</v>
      </c>
    </row>
    <row r="20" spans="1:10" ht="17" x14ac:dyDescent="0.25">
      <c r="A20" s="20" t="s">
        <v>247</v>
      </c>
      <c r="B20" t="s">
        <v>280</v>
      </c>
      <c r="C20" t="s">
        <v>288</v>
      </c>
      <c r="D20" t="s">
        <v>296</v>
      </c>
      <c r="E20" s="27" t="s">
        <v>297</v>
      </c>
      <c r="J20" s="24"/>
    </row>
    <row r="21" spans="1:10" ht="17" x14ac:dyDescent="0.25">
      <c r="A21" s="20" t="s">
        <v>251</v>
      </c>
      <c r="B21" t="s">
        <v>281</v>
      </c>
      <c r="C21" t="s">
        <v>288</v>
      </c>
      <c r="D21" t="s">
        <v>303</v>
      </c>
      <c r="E21" s="31">
        <v>12450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5A17A-AC7E-3343-8CDB-D19453C091A7}">
  <dimension ref="A1:Q8"/>
  <sheetViews>
    <sheetView workbookViewId="0">
      <selection activeCell="H14" sqref="H14"/>
    </sheetView>
  </sheetViews>
  <sheetFormatPr baseColWidth="10" defaultRowHeight="16" x14ac:dyDescent="0.2"/>
  <cols>
    <col min="1" max="1" width="12.83203125" bestFit="1" customWidth="1"/>
    <col min="2" max="2" width="12.1640625" bestFit="1" customWidth="1"/>
    <col min="3" max="3" width="11.1640625" bestFit="1" customWidth="1"/>
    <col min="4" max="4" width="24" bestFit="1" customWidth="1"/>
    <col min="5" max="5" width="7.6640625" bestFit="1" customWidth="1"/>
    <col min="6" max="6" width="11.83203125" bestFit="1" customWidth="1"/>
    <col min="7" max="7" width="6.5" bestFit="1" customWidth="1"/>
    <col min="8" max="8" width="16.6640625" bestFit="1" customWidth="1"/>
    <col min="9" max="9" width="13.1640625" bestFit="1" customWidth="1"/>
    <col min="10" max="10" width="12" bestFit="1" customWidth="1"/>
    <col min="11" max="12" width="24.5" customWidth="1"/>
    <col min="13" max="13" width="25.5" customWidth="1"/>
    <col min="14" max="14" width="13.6640625" bestFit="1" customWidth="1"/>
    <col min="15" max="15" width="13" bestFit="1" customWidth="1"/>
    <col min="16" max="16" width="18.1640625" bestFit="1" customWidth="1"/>
    <col min="17" max="17" width="23.5" bestFit="1" customWidth="1"/>
  </cols>
  <sheetData>
    <row r="1" spans="1:17" x14ac:dyDescent="0.2">
      <c r="A1" s="23" t="s">
        <v>398</v>
      </c>
      <c r="B1" s="23" t="s">
        <v>399</v>
      </c>
      <c r="C1" s="23" t="s">
        <v>400</v>
      </c>
      <c r="D1" s="23" t="s">
        <v>401</v>
      </c>
      <c r="E1" s="23" t="s">
        <v>402</v>
      </c>
      <c r="F1" s="23" t="s">
        <v>403</v>
      </c>
      <c r="G1" s="23" t="s">
        <v>404</v>
      </c>
      <c r="H1" s="23" t="s">
        <v>405</v>
      </c>
      <c r="I1" s="23" t="s">
        <v>406</v>
      </c>
      <c r="J1" s="23" t="s">
        <v>407</v>
      </c>
      <c r="K1" s="23" t="s">
        <v>408</v>
      </c>
      <c r="L1" s="23" t="s">
        <v>409</v>
      </c>
      <c r="M1" s="23" t="s">
        <v>410</v>
      </c>
      <c r="N1" s="23" t="s">
        <v>411</v>
      </c>
      <c r="O1" s="23" t="s">
        <v>412</v>
      </c>
      <c r="P1" s="23" t="s">
        <v>413</v>
      </c>
      <c r="Q1" s="23" t="s">
        <v>414</v>
      </c>
    </row>
    <row r="2" spans="1:17" x14ac:dyDescent="0.2">
      <c r="A2" t="s">
        <v>29</v>
      </c>
      <c r="B2" t="s">
        <v>415</v>
      </c>
      <c r="C2" t="s">
        <v>416</v>
      </c>
      <c r="D2" s="32" t="s">
        <v>417</v>
      </c>
      <c r="E2" t="s">
        <v>418</v>
      </c>
      <c r="F2" t="s">
        <v>419</v>
      </c>
      <c r="G2">
        <v>38116</v>
      </c>
      <c r="H2" t="s">
        <v>420</v>
      </c>
      <c r="I2" t="s">
        <v>421</v>
      </c>
      <c r="J2" t="s">
        <v>422</v>
      </c>
      <c r="K2">
        <f>1-901-555-188</f>
        <v>-1643</v>
      </c>
      <c r="L2">
        <f>1-901-555-1109</f>
        <v>-2564</v>
      </c>
      <c r="M2">
        <f>1-901-555-199</f>
        <v>-1654</v>
      </c>
      <c r="N2" t="s">
        <v>423</v>
      </c>
      <c r="O2" t="s">
        <v>424</v>
      </c>
      <c r="P2" t="s">
        <v>425</v>
      </c>
      <c r="Q2" t="s">
        <v>426</v>
      </c>
    </row>
    <row r="3" spans="1:17" x14ac:dyDescent="0.2">
      <c r="A3" t="s">
        <v>13</v>
      </c>
      <c r="B3" t="s">
        <v>427</v>
      </c>
      <c r="C3" t="s">
        <v>428</v>
      </c>
      <c r="D3" s="32" t="s">
        <v>429</v>
      </c>
      <c r="E3" t="s">
        <v>418</v>
      </c>
      <c r="F3" t="s">
        <v>430</v>
      </c>
      <c r="G3">
        <v>60606</v>
      </c>
      <c r="H3" t="s">
        <v>431</v>
      </c>
      <c r="I3" t="s">
        <v>432</v>
      </c>
      <c r="J3" t="s">
        <v>433</v>
      </c>
      <c r="K3">
        <f>1-312-555-141</f>
        <v>-1007</v>
      </c>
      <c r="L3">
        <f>1-312-555-2201</f>
        <v>-3067</v>
      </c>
      <c r="M3">
        <f>1-312-555-149</f>
        <v>-1015</v>
      </c>
      <c r="N3" t="s">
        <v>434</v>
      </c>
      <c r="O3" t="s">
        <v>435</v>
      </c>
      <c r="P3" t="s">
        <v>436</v>
      </c>
      <c r="Q3" t="s">
        <v>437</v>
      </c>
    </row>
    <row r="4" spans="1:17" x14ac:dyDescent="0.2">
      <c r="A4" t="s">
        <v>18</v>
      </c>
      <c r="B4" t="s">
        <v>438</v>
      </c>
      <c r="C4" t="s">
        <v>439</v>
      </c>
      <c r="D4" s="32" t="s">
        <v>440</v>
      </c>
      <c r="E4" t="s">
        <v>418</v>
      </c>
      <c r="F4" t="s">
        <v>441</v>
      </c>
      <c r="G4">
        <v>28202</v>
      </c>
      <c r="H4" t="s">
        <v>442</v>
      </c>
      <c r="I4" t="s">
        <v>443</v>
      </c>
      <c r="J4" t="s">
        <v>444</v>
      </c>
      <c r="K4">
        <f>1-704-555-127</f>
        <v>-1385</v>
      </c>
      <c r="L4">
        <f>1-704-555-3340</f>
        <v>-4598</v>
      </c>
      <c r="M4">
        <f>1-704-555-139</f>
        <v>-1397</v>
      </c>
      <c r="N4" t="s">
        <v>445</v>
      </c>
      <c r="O4" t="s">
        <v>446</v>
      </c>
      <c r="P4" t="s">
        <v>447</v>
      </c>
      <c r="Q4" t="s">
        <v>448</v>
      </c>
    </row>
    <row r="5" spans="1:17" x14ac:dyDescent="0.2">
      <c r="A5" t="s">
        <v>22</v>
      </c>
      <c r="B5" t="s">
        <v>449</v>
      </c>
      <c r="C5" t="s">
        <v>450</v>
      </c>
      <c r="D5" s="32" t="s">
        <v>451</v>
      </c>
      <c r="E5" t="s">
        <v>418</v>
      </c>
      <c r="F5" t="s">
        <v>452</v>
      </c>
      <c r="G5">
        <v>49503</v>
      </c>
      <c r="H5" t="s">
        <v>453</v>
      </c>
      <c r="I5" t="s">
        <v>454</v>
      </c>
      <c r="J5" t="s">
        <v>455</v>
      </c>
      <c r="K5">
        <f>1-616-555-162</f>
        <v>-1332</v>
      </c>
      <c r="L5">
        <f>1-616-555-4412</f>
        <v>-5582</v>
      </c>
      <c r="M5">
        <f>1-616-555-179</f>
        <v>-1349</v>
      </c>
      <c r="N5" t="s">
        <v>456</v>
      </c>
      <c r="O5" t="s">
        <v>457</v>
      </c>
      <c r="P5" t="s">
        <v>458</v>
      </c>
      <c r="Q5" t="s">
        <v>448</v>
      </c>
    </row>
    <row r="6" spans="1:17" x14ac:dyDescent="0.2">
      <c r="A6" t="s">
        <v>28</v>
      </c>
      <c r="B6" t="s">
        <v>459</v>
      </c>
      <c r="C6" t="s">
        <v>460</v>
      </c>
      <c r="D6" s="32" t="s">
        <v>461</v>
      </c>
      <c r="E6" t="s">
        <v>418</v>
      </c>
      <c r="F6" t="s">
        <v>462</v>
      </c>
      <c r="G6">
        <v>72712</v>
      </c>
      <c r="H6" t="s">
        <v>463</v>
      </c>
      <c r="I6" t="s">
        <v>464</v>
      </c>
      <c r="J6" t="s">
        <v>465</v>
      </c>
      <c r="K6">
        <f>1-479-555-115</f>
        <v>-1148</v>
      </c>
      <c r="L6">
        <f>1-479-555-2090</f>
        <v>-3123</v>
      </c>
      <c r="M6">
        <f>1-479-555-129</f>
        <v>-1162</v>
      </c>
      <c r="N6" t="s">
        <v>466</v>
      </c>
      <c r="O6" t="s">
        <v>467</v>
      </c>
      <c r="P6" t="s">
        <v>468</v>
      </c>
      <c r="Q6" t="s">
        <v>469</v>
      </c>
    </row>
    <row r="7" spans="1:17" x14ac:dyDescent="0.2">
      <c r="A7" t="s">
        <v>31</v>
      </c>
      <c r="B7" t="s">
        <v>470</v>
      </c>
      <c r="C7" t="s">
        <v>31</v>
      </c>
      <c r="D7" s="32" t="s">
        <v>471</v>
      </c>
      <c r="E7" t="s">
        <v>418</v>
      </c>
      <c r="F7" t="s">
        <v>472</v>
      </c>
      <c r="G7">
        <v>76131</v>
      </c>
      <c r="H7" t="s">
        <v>473</v>
      </c>
      <c r="I7" t="s">
        <v>474</v>
      </c>
      <c r="J7" t="s">
        <v>475</v>
      </c>
      <c r="K7">
        <f>1-817-555-133</f>
        <v>-1504</v>
      </c>
      <c r="L7">
        <f>1-817-555-2088</f>
        <v>-3459</v>
      </c>
      <c r="M7">
        <f>1-817-555-149</f>
        <v>-1520</v>
      </c>
      <c r="N7" t="s">
        <v>476</v>
      </c>
      <c r="O7" t="s">
        <v>477</v>
      </c>
      <c r="P7" t="s">
        <v>478</v>
      </c>
      <c r="Q7" t="s">
        <v>479</v>
      </c>
    </row>
    <row r="8" spans="1:17" x14ac:dyDescent="0.2">
      <c r="A8" t="s">
        <v>396</v>
      </c>
      <c r="B8" t="s">
        <v>480</v>
      </c>
      <c r="C8" t="s">
        <v>481</v>
      </c>
      <c r="D8" s="32" t="s">
        <v>482</v>
      </c>
      <c r="E8" t="s">
        <v>418</v>
      </c>
      <c r="F8" t="s">
        <v>483</v>
      </c>
      <c r="G8">
        <v>90745</v>
      </c>
      <c r="H8" t="s">
        <v>484</v>
      </c>
      <c r="I8" t="s">
        <v>485</v>
      </c>
      <c r="J8" t="s">
        <v>486</v>
      </c>
      <c r="K8">
        <f>1-310-555-170</f>
        <v>-1034</v>
      </c>
      <c r="L8">
        <f>1-310-555-7761</f>
        <v>-8625</v>
      </c>
      <c r="M8">
        <f>1-310-555-189</f>
        <v>-1053</v>
      </c>
      <c r="N8" t="s">
        <v>487</v>
      </c>
      <c r="O8" t="s">
        <v>488</v>
      </c>
      <c r="P8" t="s">
        <v>489</v>
      </c>
      <c r="Q8" t="s">
        <v>490</v>
      </c>
    </row>
  </sheetData>
  <hyperlinks>
    <hyperlink ref="D2" r:id="rId1" display="mailto:claims@fdxv-logistics.com" xr:uid="{C3A70497-3EFE-5F4B-A987-B672B59BE786}"/>
    <hyperlink ref="D3" r:id="rId2" display="mailto:support@hbgv-3pl.com" xr:uid="{B794E90D-39C0-3241-BD59-515EA1EBC8AF}"/>
    <hyperlink ref="D4" r:id="rId3" display="mailto:claims@rxov-transport.com" xr:uid="{6A2715D6-CAA2-134B-BA92-756A5329FD9E}"/>
    <hyperlink ref="D5" r:id="rId4" display="mailto:claims@xpov-freight.com" xr:uid="{FF19FADA-E298-B04A-B088-3CCC5E8626A5}"/>
    <hyperlink ref="D6" r:id="rId5" display="mailto:billing@jbhv-logistics.com" xr:uid="{5BE46E70-4586-4E4E-9F94-E78FA042F354}"/>
    <hyperlink ref="D7" r:id="rId6" display="mailto:claims@bnfv-rail.com" xr:uid="{3DB88ACD-4C83-9B4F-8890-CEDB14D948D8}"/>
    <hyperlink ref="D8" r:id="rId7" display="mailto:help@plsv-logis.com" xr:uid="{D44E4C60-94E9-1F45-988A-5084F45E6EFB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1DA43-776A-D545-BD33-5735469E180A}">
  <sheetPr codeName="Sheet3"/>
  <dimension ref="A1:C24"/>
  <sheetViews>
    <sheetView workbookViewId="0">
      <selection activeCell="B3" sqref="B3"/>
    </sheetView>
  </sheetViews>
  <sheetFormatPr baseColWidth="10" defaultRowHeight="16" x14ac:dyDescent="0.2"/>
  <cols>
    <col min="2" max="2" width="25.5" bestFit="1" customWidth="1"/>
    <col min="3" max="3" width="15.5" style="33" customWidth="1"/>
  </cols>
  <sheetData>
    <row r="1" spans="1:3" x14ac:dyDescent="0.2">
      <c r="A1" s="3" t="s">
        <v>2</v>
      </c>
      <c r="B1" s="3" t="s">
        <v>495</v>
      </c>
      <c r="C1" s="3" t="s">
        <v>541</v>
      </c>
    </row>
    <row r="2" spans="1:3" x14ac:dyDescent="0.2">
      <c r="A2" t="s">
        <v>13</v>
      </c>
      <c r="B2" t="s">
        <v>496</v>
      </c>
      <c r="C2" s="33" t="s">
        <v>518</v>
      </c>
    </row>
    <row r="3" spans="1:3" x14ac:dyDescent="0.2">
      <c r="A3" t="s">
        <v>18</v>
      </c>
      <c r="B3" t="s">
        <v>497</v>
      </c>
      <c r="C3" s="33" t="s">
        <v>519</v>
      </c>
    </row>
    <row r="4" spans="1:3" x14ac:dyDescent="0.2">
      <c r="A4" t="s">
        <v>22</v>
      </c>
      <c r="B4" t="s">
        <v>498</v>
      </c>
      <c r="C4" s="33" t="s">
        <v>520</v>
      </c>
    </row>
    <row r="5" spans="1:3" x14ac:dyDescent="0.2">
      <c r="A5" t="s">
        <v>28</v>
      </c>
      <c r="B5" t="s">
        <v>499</v>
      </c>
      <c r="C5" s="33" t="s">
        <v>521</v>
      </c>
    </row>
    <row r="6" spans="1:3" x14ac:dyDescent="0.2">
      <c r="A6" t="s">
        <v>29</v>
      </c>
      <c r="B6" t="s">
        <v>500</v>
      </c>
      <c r="C6" s="33" t="s">
        <v>522</v>
      </c>
    </row>
    <row r="7" spans="1:3" x14ac:dyDescent="0.2">
      <c r="A7" t="s">
        <v>30</v>
      </c>
      <c r="B7" t="s">
        <v>501</v>
      </c>
      <c r="C7" s="33" t="s">
        <v>523</v>
      </c>
    </row>
    <row r="8" spans="1:3" x14ac:dyDescent="0.2">
      <c r="A8" t="s">
        <v>31</v>
      </c>
      <c r="B8" t="s">
        <v>512</v>
      </c>
      <c r="C8" s="33" t="s">
        <v>524</v>
      </c>
    </row>
    <row r="9" spans="1:3" x14ac:dyDescent="0.2">
      <c r="B9" t="s">
        <v>542</v>
      </c>
      <c r="C9" s="33" t="s">
        <v>525</v>
      </c>
    </row>
    <row r="10" spans="1:3" x14ac:dyDescent="0.2">
      <c r="B10" t="s">
        <v>502</v>
      </c>
      <c r="C10" s="33" t="s">
        <v>526</v>
      </c>
    </row>
    <row r="11" spans="1:3" x14ac:dyDescent="0.2">
      <c r="B11" t="s">
        <v>503</v>
      </c>
      <c r="C11" s="33" t="s">
        <v>527</v>
      </c>
    </row>
    <row r="12" spans="1:3" x14ac:dyDescent="0.2">
      <c r="B12" t="s">
        <v>504</v>
      </c>
      <c r="C12" s="33" t="s">
        <v>528</v>
      </c>
    </row>
    <row r="13" spans="1:3" x14ac:dyDescent="0.2">
      <c r="B13" t="s">
        <v>505</v>
      </c>
      <c r="C13" s="33" t="s">
        <v>529</v>
      </c>
    </row>
    <row r="14" spans="1:3" x14ac:dyDescent="0.2">
      <c r="B14" t="s">
        <v>506</v>
      </c>
      <c r="C14" s="33" t="s">
        <v>530</v>
      </c>
    </row>
    <row r="15" spans="1:3" x14ac:dyDescent="0.2">
      <c r="B15" t="s">
        <v>507</v>
      </c>
      <c r="C15" s="33" t="s">
        <v>531</v>
      </c>
    </row>
    <row r="16" spans="1:3" x14ac:dyDescent="0.2">
      <c r="B16" t="s">
        <v>508</v>
      </c>
      <c r="C16" s="33" t="s">
        <v>532</v>
      </c>
    </row>
    <row r="17" spans="2:3" x14ac:dyDescent="0.2">
      <c r="B17" t="s">
        <v>509</v>
      </c>
      <c r="C17" s="33" t="s">
        <v>533</v>
      </c>
    </row>
    <row r="18" spans="2:3" x14ac:dyDescent="0.2">
      <c r="B18" t="s">
        <v>510</v>
      </c>
      <c r="C18" s="33" t="s">
        <v>534</v>
      </c>
    </row>
    <row r="19" spans="2:3" x14ac:dyDescent="0.2">
      <c r="B19" t="s">
        <v>511</v>
      </c>
      <c r="C19" s="33" t="s">
        <v>535</v>
      </c>
    </row>
    <row r="20" spans="2:3" x14ac:dyDescent="0.2">
      <c r="B20" t="s">
        <v>513</v>
      </c>
      <c r="C20" s="33" t="s">
        <v>536</v>
      </c>
    </row>
    <row r="21" spans="2:3" x14ac:dyDescent="0.2">
      <c r="B21" t="s">
        <v>514</v>
      </c>
      <c r="C21" s="33" t="s">
        <v>537</v>
      </c>
    </row>
    <row r="22" spans="2:3" x14ac:dyDescent="0.2">
      <c r="B22" t="s">
        <v>515</v>
      </c>
      <c r="C22" s="33" t="s">
        <v>538</v>
      </c>
    </row>
    <row r="23" spans="2:3" x14ac:dyDescent="0.2">
      <c r="B23" t="s">
        <v>516</v>
      </c>
      <c r="C23" s="33" t="s">
        <v>539</v>
      </c>
    </row>
    <row r="24" spans="2:3" x14ac:dyDescent="0.2">
      <c r="B24" t="s">
        <v>517</v>
      </c>
      <c r="C24" s="33" t="s">
        <v>540</v>
      </c>
    </row>
  </sheetData>
  <phoneticPr fontId="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B3467-3351-EB4D-BF46-01F0DE4A9773}">
  <sheetPr codeName="Sheet4"/>
  <dimension ref="A1:A3"/>
  <sheetViews>
    <sheetView workbookViewId="0">
      <selection activeCell="A4" sqref="A4"/>
    </sheetView>
  </sheetViews>
  <sheetFormatPr baseColWidth="10" defaultRowHeight="16" x14ac:dyDescent="0.2"/>
  <sheetData>
    <row r="1" spans="1:1" x14ac:dyDescent="0.2">
      <c r="A1" s="3" t="s">
        <v>10</v>
      </c>
    </row>
    <row r="2" spans="1:1" x14ac:dyDescent="0.2">
      <c r="A2" t="s">
        <v>16</v>
      </c>
    </row>
    <row r="3" spans="1:1" x14ac:dyDescent="0.2">
      <c r="A3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Master</vt:lpstr>
      <vt:lpstr>Data_Dictionary</vt:lpstr>
      <vt:lpstr>Vendor_Code</vt:lpstr>
      <vt:lpstr>Reference</vt:lpstr>
      <vt:lpstr>Dropdown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2025-12-15T14:41:07Z</dcterms:created>
  <dcterms:modified xsi:type="dcterms:W3CDTF">2026-02-04T17:02:13Z</dcterms:modified>
</cp:coreProperties>
</file>